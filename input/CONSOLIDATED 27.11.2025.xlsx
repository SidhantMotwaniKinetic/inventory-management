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17520" windowHeight="9525"/>
  </bookViews>
  <sheets>
    <sheet name="Sheet2" sheetId="2" r:id="rId1"/>
    <sheet name="Sheet1" sheetId="1" r:id="rId2"/>
  </sheets>
  <definedNames>
    <definedName name="_xlnm._FilterDatabase" localSheetId="0" hidden="1">Sheet2!$A$4:$K$27</definedName>
  </definedNames>
  <calcPr calcId="145621"/>
</workbook>
</file>

<file path=xl/calcChain.xml><?xml version="1.0" encoding="utf-8"?>
<calcChain xmlns="http://schemas.openxmlformats.org/spreadsheetml/2006/main">
  <c r="J23" i="2" l="1"/>
  <c r="J22" i="2"/>
  <c r="J20" i="2"/>
  <c r="J25" i="2"/>
  <c r="J18" i="2"/>
  <c r="J14" i="2"/>
  <c r="J8" i="2"/>
  <c r="J5" i="2"/>
  <c r="J13" i="2"/>
  <c r="J7" i="2"/>
  <c r="J19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5" i="2"/>
</calcChain>
</file>

<file path=xl/sharedStrings.xml><?xml version="1.0" encoding="utf-8"?>
<sst xmlns="http://schemas.openxmlformats.org/spreadsheetml/2006/main" count="477" uniqueCount="116">
  <si>
    <t xml:space="preserve">Transfer Doc.        </t>
  </si>
  <si>
    <t xml:space="preserve">Transfer Date </t>
  </si>
  <si>
    <t xml:space="preserve">Post or Not? </t>
  </si>
  <si>
    <t>Confirmation </t>
  </si>
  <si>
    <t>Dept       </t>
  </si>
  <si>
    <t xml:space="preserve">Employee Name                            </t>
  </si>
  <si>
    <t>Applicant  </t>
  </si>
  <si>
    <t xml:space="preserve">Department Name                                                                  </t>
  </si>
  <si>
    <t>Remark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</si>
  <si>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 xml:space="preserve">Line No. </t>
  </si>
  <si>
    <t xml:space="preserve">Item No.                                 </t>
  </si>
  <si>
    <t xml:space="preserve">Item Name                                                                                                                </t>
  </si>
  <si>
    <t xml:space="preserve">Item Specification                                                                                                       </t>
  </si>
  <si>
    <t xml:space="preserve">Transfer-out WH </t>
  </si>
  <si>
    <t xml:space="preserve">Store Name                                                                       </t>
  </si>
  <si>
    <t xml:space="preserve">Transfer-out Lot         </t>
  </si>
  <si>
    <t xml:space="preserve">Transfer-Out Qty (Estimated) </t>
  </si>
  <si>
    <t xml:space="preserve">Inventory Unit </t>
  </si>
  <si>
    <t xml:space="preserve">Converted Qty   </t>
  </si>
  <si>
    <t xml:space="preserve">Transfer-in WH </t>
  </si>
  <si>
    <t xml:space="preserve">Transfer-in Lot          </t>
  </si>
  <si>
    <t xml:space="preserve">Custom Field - Value </t>
  </si>
  <si>
    <t xml:space="preserve">Custom Field - Text                      </t>
  </si>
  <si>
    <t xml:space="preserve">Custom Fields - Integer </t>
  </si>
  <si>
    <t xml:space="preserve">Custom Field - Textedit                                                                                                                                                                                                                                         </t>
  </si>
  <si>
    <t>25/11/26</t>
  </si>
  <si>
    <t>Y</t>
  </si>
  <si>
    <t>80007</t>
  </si>
  <si>
    <t>Sarvesh Joshi</t>
  </si>
  <si>
    <t>M000271</t>
  </si>
  <si>
    <t>Stores</t>
  </si>
  <si>
    <t>3000I</t>
  </si>
  <si>
    <t>Material Warehouse</t>
  </si>
  <si>
    <t>PCS</t>
  </si>
  <si>
    <t>6001I</t>
  </si>
  <si>
    <t>Kinetic W/H</t>
  </si>
  <si>
    <t>CHIP RES</t>
  </si>
  <si>
    <t>20251031</t>
  </si>
  <si>
    <t>I1202-25110030</t>
  </si>
  <si>
    <t>02S2250360-00</t>
  </si>
  <si>
    <t>CHIP CAP</t>
  </si>
  <si>
    <t>CAP-CER-SMD 2U2-10%-25V-0805-X7R</t>
  </si>
  <si>
    <t>20250819</t>
  </si>
  <si>
    <t>06S2907001-24</t>
  </si>
  <si>
    <t>CHIP Transistor-(LMBT2907ALT1G)</t>
  </si>
  <si>
    <t>SEM-PNP-SMD 60V-0.6A-150℃-SOT-23</t>
  </si>
  <si>
    <t>01S2001K11-00</t>
  </si>
  <si>
    <t>RES-MO-SMD 2K-1%-0402-63mW-55-155℃-TC100</t>
  </si>
  <si>
    <t>01S1202K11-00</t>
  </si>
  <si>
    <t>RES-MO-SMD 12K-1%-0402-63mW-55-155℃-TC100</t>
  </si>
  <si>
    <t>20250919</t>
  </si>
  <si>
    <t>01S0158511-03</t>
  </si>
  <si>
    <t>CHIP RES(Metal Alloy)</t>
  </si>
  <si>
    <t>RES-MS-SMD 0R15-1%-RLP2512-2W-55-170℃-TC50</t>
  </si>
  <si>
    <t>05S5243100-18</t>
  </si>
  <si>
    <t>CHIP Zener Diode-(MMSZ5243B-TP/LMSZ5243BT1G)</t>
  </si>
  <si>
    <t>SEM-ZD-SMD 13V-5%-9.5mA-0.5W-SOD-123</t>
  </si>
  <si>
    <t>03S3216003-13</t>
  </si>
  <si>
    <t>CHIP Bead Core</t>
  </si>
  <si>
    <t>Idc=26A Rdc=0.6mΩ 3230 -40~125℃ Packing:Reel</t>
  </si>
  <si>
    <t>20240925</t>
  </si>
  <si>
    <t>07S1399201-02</t>
  </si>
  <si>
    <t>CHIP PWM IC</t>
  </si>
  <si>
    <t>IC-PWM-Contr-SMD NCP1399ACDR2G 125℃-SOIC-16</t>
  </si>
  <si>
    <t>01S3901110-00</t>
  </si>
  <si>
    <t>RES-MO-SMD 3K9-1%-1206-250mW-55-155℃-TC100</t>
  </si>
  <si>
    <t>01S1001K11-00</t>
  </si>
  <si>
    <t>RES-MO-SMD 1K-1%-0402-63mW-55-155℃-TC100</t>
  </si>
  <si>
    <t>01S1003K11-00</t>
  </si>
  <si>
    <t>RES-MO-SMD 100K-1%-0402-63mW-55-155℃-TC100</t>
  </si>
  <si>
    <t>I1202-25110031</t>
  </si>
  <si>
    <t>06S5616001-20</t>
  </si>
  <si>
    <t>CHIP Transistor-(BCX56-16)</t>
  </si>
  <si>
    <t>SEM-NPN-SMD 80V-1A-150℃-SOT-89</t>
  </si>
  <si>
    <t>13J0000044100</t>
  </si>
  <si>
    <t>SCARD PCB(CDC-CAN075R REV:A)</t>
  </si>
  <si>
    <t>233.5*193*1.6 FR-4 1/2 60PP SMT 83.45%-4</t>
  </si>
  <si>
    <t>20240117</t>
  </si>
  <si>
    <t>02S1020530-00</t>
  </si>
  <si>
    <t>CAP-CER-SMD 1N-10%-50V-0603-X7R</t>
  </si>
  <si>
    <t>07S4311001-55</t>
  </si>
  <si>
    <t>CHIP V-Reg IC</t>
  </si>
  <si>
    <t>IC-Vol-Reg-SMD LR431ATLT1G-125℃-SOT23-3</t>
  </si>
  <si>
    <t>20241022</t>
  </si>
  <si>
    <t>05S1600000-06</t>
  </si>
  <si>
    <t>CHIP Switching Diode-(BAS16WX-TP)</t>
  </si>
  <si>
    <t>SEM-SWD-SMD 75V-100mA-150℃-SOD-323</t>
  </si>
  <si>
    <t>20250811</t>
  </si>
  <si>
    <t>25S2540802-00</t>
  </si>
  <si>
    <t>CHIP Connector</t>
  </si>
  <si>
    <t>IN-PIN HEADER-SMD 1x8-LS2.54-PA6T(Copper Alloy)</t>
  </si>
  <si>
    <t>20240220</t>
  </si>
  <si>
    <t>20240208</t>
  </si>
  <si>
    <t>I1202-25110032</t>
  </si>
  <si>
    <t>06S2907001-10</t>
  </si>
  <si>
    <t>CHIP Transistor-(PMBT2907A)</t>
  </si>
  <si>
    <t>SEM-PNP-SMD 60V-0.6A-150℃-SOT23</t>
  </si>
  <si>
    <t>06S6036001-07</t>
  </si>
  <si>
    <t>CHIP N-MOS-(IPD60R360P7S)</t>
  </si>
  <si>
    <t>SEM-N-MOS-SMD 600V-9A-0R36-150℃-TO-252-3</t>
  </si>
  <si>
    <t>20250430</t>
  </si>
  <si>
    <t>25A2540801-00</t>
  </si>
  <si>
    <t>Connector</t>
  </si>
  <si>
    <t>IN-PIN HEADER-RAD 1x8-LS2.54-PA6T(Copper Alloy)</t>
  </si>
  <si>
    <t>20240807</t>
  </si>
  <si>
    <t>13J0000044000</t>
  </si>
  <si>
    <t>S-CARD PCB(CDC-CAN075R REV:V3.0)</t>
  </si>
  <si>
    <t>247*193*1.6 FR-4 1/2 60PP SMT 88.28%</t>
  </si>
  <si>
    <t>Column Labels</t>
  </si>
  <si>
    <t>(blank)</t>
  </si>
  <si>
    <t>Grand Total</t>
  </si>
  <si>
    <t>Row Labels</t>
  </si>
  <si>
    <t xml:space="preserve">Sum of Converted Qty   </t>
  </si>
  <si>
    <t>IN</t>
  </si>
  <si>
    <t>PHY QTY</t>
  </si>
  <si>
    <t>E &amp;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</si>
</sst>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_ "/>
    <numFmt numFmtId="165" formatCode="#,##0.000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 applyAlignment="1">
      <alignment wrapText="1"/>
    </xf>
    <xf numFmtId="49" fontId="18" fillId="0" borderId="0" xfId="0" applyNumberFormat="1" applyFont="1" applyAlignment="1">
      <alignment wrapText="1"/>
    </xf>
    <xf numFmtId="164" fontId="18" fillId="0" borderId="0" xfId="0" applyNumberFormat="1" applyFont="1" applyAlignment="1">
      <alignment wrapText="1"/>
    </xf>
    <xf numFmtId="165" fontId="18" fillId="0" borderId="0" xfId="0" applyNumberFormat="1" applyFont="1" applyAlignment="1">
      <alignment wrapText="1"/>
    </xf>
    <xf numFmtId="0" fontId="0" fillId="0" borderId="10" xfId="0" applyBorder="1"/>
    <xf numFmtId="0" fontId="0" fillId="0" borderId="10" xfId="0" pivotButton="1" applyBorder="1"/>
    <xf numFmtId="0" fontId="0" fillId="0" borderId="10" xfId="0" applyBorder="1" applyAlignment="1">
      <alignment horizontal="left"/>
    </xf>
    <xf numFmtId="0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7"/>
  <sheetViews>
    <sheetView tabSelected="1" workbookViewId="0">
      <selection activeCell="O13" sqref="O13"/>
    </sheetView>
  </sheetViews>
  <sheetFormatPr defaultRowHeight="15" x14ac:dyDescent="0.25"/>
  <cols>
    <col min="1" max="2" width="3" bestFit="1" customWidth="1"/>
    <col min="3" max="3" width="22.140625" bestFit="1" customWidth="1"/>
    <col min="4" max="4" width="37" customWidth="1"/>
    <col min="5" max="5" width="16.28515625" hidden="1" customWidth="1"/>
    <col min="6" max="7" width="14.42578125" hidden="1" customWidth="1"/>
    <col min="8" max="8" width="7.28515625" hidden="1" customWidth="1"/>
    <col min="9" max="10" width="11.28515625" bestFit="1" customWidth="1"/>
  </cols>
  <sheetData>
    <row r="3" spans="1:11" x14ac:dyDescent="0.25">
      <c r="A3" s="5"/>
      <c r="B3" s="5"/>
      <c r="C3" s="6" t="s">
        <v>112</v>
      </c>
      <c r="D3" s="6"/>
      <c r="E3" s="6" t="s">
        <v>108</v>
      </c>
      <c r="F3" s="5"/>
      <c r="G3" s="5"/>
      <c r="H3" s="5"/>
      <c r="I3" s="5"/>
      <c r="J3" s="5"/>
      <c r="K3" s="5"/>
    </row>
    <row r="4" spans="1:11" x14ac:dyDescent="0.25">
      <c r="A4" s="5"/>
      <c r="B4" s="5"/>
      <c r="C4" s="6" t="s">
        <v>111</v>
      </c>
      <c r="D4" s="6"/>
      <c r="E4" s="5" t="s">
        <v>38</v>
      </c>
      <c r="F4" s="5" t="s">
        <v>70</v>
      </c>
      <c r="G4" s="5" t="s">
        <v>93</v>
      </c>
      <c r="H4" s="5" t="s">
        <v>109</v>
      </c>
      <c r="I4" s="5" t="s">
        <v>110</v>
      </c>
      <c r="J4" s="5" t="s">
        <v>114</v>
      </c>
      <c r="K4" s="5" t="s">
        <v>115</v>
      </c>
    </row>
    <row r="5" spans="1:11" x14ac:dyDescent="0.25">
      <c r="A5" s="5" t="s">
        <v>113</v>
      </c>
      <c r="B5" s="5">
        <v>1</v>
      </c>
      <c r="C5" s="7" t="s">
        <v>51</v>
      </c>
      <c r="D5" s="7" t="str">
        <f>VLOOKUP(C5,Sheet1!K:M,3,)</f>
        <v>RES-MS-SMD 0R15-1%-RLP2512-2W-55-170℃-TC50</v>
      </c>
      <c r="E5" s="8">
        <v>4000</v>
      </c>
      <c r="F5" s="8"/>
      <c r="G5" s="8"/>
      <c r="H5" s="8"/>
      <c r="I5" s="8">
        <v>4000</v>
      </c>
      <c r="J5" s="5">
        <f>4000*1</f>
        <v>4000</v>
      </c>
      <c r="K5" s="5">
        <f>+J5-I5</f>
        <v>0</v>
      </c>
    </row>
    <row r="6" spans="1:11" x14ac:dyDescent="0.25">
      <c r="A6" s="5" t="s">
        <v>113</v>
      </c>
      <c r="B6" s="5">
        <v>2</v>
      </c>
      <c r="C6" s="7" t="s">
        <v>66</v>
      </c>
      <c r="D6" s="7" t="str">
        <f>VLOOKUP(C6,Sheet1!K:M,3,)</f>
        <v>RES-MO-SMD 1K-1%-0402-63mW-55-155℃-TC100</v>
      </c>
      <c r="E6" s="8">
        <v>10000</v>
      </c>
      <c r="F6" s="8"/>
      <c r="G6" s="8"/>
      <c r="H6" s="8"/>
      <c r="I6" s="8">
        <v>10000</v>
      </c>
      <c r="J6" s="5">
        <v>10000</v>
      </c>
      <c r="K6" s="5">
        <f t="shared" ref="K6:K27" si="0">+J6-I6</f>
        <v>0</v>
      </c>
    </row>
    <row r="7" spans="1:11" x14ac:dyDescent="0.25">
      <c r="A7" s="5" t="s">
        <v>113</v>
      </c>
      <c r="B7" s="5">
        <v>3</v>
      </c>
      <c r="C7" s="7" t="s">
        <v>68</v>
      </c>
      <c r="D7" s="7" t="str">
        <f>VLOOKUP(C7,Sheet1!K:M,3,)</f>
        <v>RES-MO-SMD 100K-1%-0402-63mW-55-155℃-TC100</v>
      </c>
      <c r="E7" s="8">
        <v>10000</v>
      </c>
      <c r="F7" s="8"/>
      <c r="G7" s="8"/>
      <c r="H7" s="8"/>
      <c r="I7" s="8">
        <v>10000</v>
      </c>
      <c r="J7" s="5">
        <f>10000*1</f>
        <v>10000</v>
      </c>
      <c r="K7" s="5">
        <f t="shared" si="0"/>
        <v>0</v>
      </c>
    </row>
    <row r="8" spans="1:11" x14ac:dyDescent="0.25">
      <c r="A8" s="5" t="s">
        <v>113</v>
      </c>
      <c r="B8" s="5">
        <v>4</v>
      </c>
      <c r="C8" s="7" t="s">
        <v>48</v>
      </c>
      <c r="D8" s="7" t="str">
        <f>VLOOKUP(C8,Sheet1!K:M,3,)</f>
        <v>RES-MO-SMD 12K-1%-0402-63mW-55-155℃-TC100</v>
      </c>
      <c r="E8" s="8">
        <v>10000</v>
      </c>
      <c r="F8" s="8"/>
      <c r="G8" s="8"/>
      <c r="H8" s="8"/>
      <c r="I8" s="8">
        <v>10000</v>
      </c>
      <c r="J8" s="5">
        <f>10000*1</f>
        <v>10000</v>
      </c>
      <c r="K8" s="5">
        <f t="shared" si="0"/>
        <v>0</v>
      </c>
    </row>
    <row r="9" spans="1:11" x14ac:dyDescent="0.25">
      <c r="A9" s="5" t="s">
        <v>113</v>
      </c>
      <c r="B9" s="5">
        <v>5</v>
      </c>
      <c r="C9" s="7" t="s">
        <v>46</v>
      </c>
      <c r="D9" s="7" t="str">
        <f>VLOOKUP(C9,Sheet1!K:M,3,)</f>
        <v>RES-MO-SMD 2K-1%-0402-63mW-55-155℃-TC100</v>
      </c>
      <c r="E9" s="8">
        <v>10000</v>
      </c>
      <c r="F9" s="8"/>
      <c r="G9" s="8"/>
      <c r="H9" s="8"/>
      <c r="I9" s="8">
        <v>10000</v>
      </c>
      <c r="J9" s="5">
        <v>10000</v>
      </c>
      <c r="K9" s="5">
        <f t="shared" si="0"/>
        <v>0</v>
      </c>
    </row>
    <row r="10" spans="1:11" x14ac:dyDescent="0.25">
      <c r="A10" s="5" t="s">
        <v>113</v>
      </c>
      <c r="B10" s="5">
        <v>6</v>
      </c>
      <c r="C10" s="7" t="s">
        <v>64</v>
      </c>
      <c r="D10" s="7" t="str">
        <f>VLOOKUP(C10,Sheet1!K:M,3,)</f>
        <v>RES-MO-SMD 3K9-1%-1206-250mW-55-155℃-TC100</v>
      </c>
      <c r="E10" s="8">
        <v>5000</v>
      </c>
      <c r="F10" s="8"/>
      <c r="G10" s="8"/>
      <c r="H10" s="8"/>
      <c r="I10" s="8">
        <v>5000</v>
      </c>
      <c r="J10" s="5">
        <v>5000</v>
      </c>
      <c r="K10" s="5">
        <f t="shared" si="0"/>
        <v>0</v>
      </c>
    </row>
    <row r="11" spans="1:11" x14ac:dyDescent="0.25">
      <c r="A11" s="5" t="s">
        <v>113</v>
      </c>
      <c r="B11" s="5">
        <v>7</v>
      </c>
      <c r="C11" s="7" t="s">
        <v>78</v>
      </c>
      <c r="D11" s="7" t="str">
        <f>VLOOKUP(C11,Sheet1!K:M,3,)</f>
        <v>CAP-CER-SMD 1N-10%-50V-0603-X7R</v>
      </c>
      <c r="E11" s="8"/>
      <c r="F11" s="8">
        <v>4000</v>
      </c>
      <c r="G11" s="8"/>
      <c r="H11" s="8"/>
      <c r="I11" s="8">
        <v>4000</v>
      </c>
      <c r="J11" s="5">
        <v>4000</v>
      </c>
      <c r="K11" s="5">
        <f t="shared" si="0"/>
        <v>0</v>
      </c>
    </row>
    <row r="12" spans="1:11" x14ac:dyDescent="0.25">
      <c r="A12" s="5" t="s">
        <v>113</v>
      </c>
      <c r="B12" s="5">
        <v>8</v>
      </c>
      <c r="C12" s="7" t="s">
        <v>39</v>
      </c>
      <c r="D12" s="7" t="str">
        <f>VLOOKUP(C12,Sheet1!K:M,3,)</f>
        <v>CAP-CER-SMD 2U2-10%-25V-0805-X7R</v>
      </c>
      <c r="E12" s="8">
        <v>2000</v>
      </c>
      <c r="F12" s="8"/>
      <c r="G12" s="8"/>
      <c r="H12" s="8"/>
      <c r="I12" s="8">
        <v>2000</v>
      </c>
      <c r="J12" s="5">
        <v>2000</v>
      </c>
      <c r="K12" s="5">
        <f t="shared" si="0"/>
        <v>0</v>
      </c>
    </row>
    <row r="13" spans="1:11" x14ac:dyDescent="0.25">
      <c r="A13" s="5" t="s">
        <v>113</v>
      </c>
      <c r="B13" s="5">
        <v>9</v>
      </c>
      <c r="C13" s="7" t="s">
        <v>57</v>
      </c>
      <c r="D13" s="7" t="str">
        <f>VLOOKUP(C13,Sheet1!K:M,3,)</f>
        <v>Idc=26A Rdc=0.6mΩ 3230 -40~125℃ Packing:Reel</v>
      </c>
      <c r="E13" s="8">
        <v>1000</v>
      </c>
      <c r="F13" s="8"/>
      <c r="G13" s="8"/>
      <c r="H13" s="8"/>
      <c r="I13" s="8">
        <v>1000</v>
      </c>
      <c r="J13" s="5">
        <f>1000*1</f>
        <v>1000</v>
      </c>
      <c r="K13" s="5">
        <f t="shared" si="0"/>
        <v>0</v>
      </c>
    </row>
    <row r="14" spans="1:11" x14ac:dyDescent="0.25">
      <c r="A14" s="5" t="s">
        <v>113</v>
      </c>
      <c r="B14" s="5">
        <v>10</v>
      </c>
      <c r="C14" s="7" t="s">
        <v>84</v>
      </c>
      <c r="D14" s="7" t="str">
        <f>VLOOKUP(C14,Sheet1!K:M,3,)</f>
        <v>SEM-SWD-SMD 75V-100mA-150℃-SOD-323</v>
      </c>
      <c r="E14" s="8"/>
      <c r="F14" s="8">
        <v>18000</v>
      </c>
      <c r="G14" s="8"/>
      <c r="H14" s="8"/>
      <c r="I14" s="8">
        <v>18000</v>
      </c>
      <c r="J14" s="5">
        <f>3000*6</f>
        <v>18000</v>
      </c>
      <c r="K14" s="5">
        <f t="shared" si="0"/>
        <v>0</v>
      </c>
    </row>
    <row r="15" spans="1:11" x14ac:dyDescent="0.25">
      <c r="A15" s="5" t="s">
        <v>113</v>
      </c>
      <c r="B15" s="5">
        <v>11</v>
      </c>
      <c r="C15" s="7" t="s">
        <v>54</v>
      </c>
      <c r="D15" s="7" t="str">
        <f>VLOOKUP(C15,Sheet1!K:M,3,)</f>
        <v>SEM-ZD-SMD 13V-5%-9.5mA-0.5W-SOD-123</v>
      </c>
      <c r="E15" s="8">
        <v>3000</v>
      </c>
      <c r="F15" s="8"/>
      <c r="G15" s="8"/>
      <c r="H15" s="8"/>
      <c r="I15" s="8">
        <v>3000</v>
      </c>
      <c r="J15" s="5">
        <v>3000</v>
      </c>
      <c r="K15" s="5">
        <f t="shared" si="0"/>
        <v>0</v>
      </c>
    </row>
    <row r="16" spans="1:11" x14ac:dyDescent="0.25">
      <c r="A16" s="5" t="s">
        <v>113</v>
      </c>
      <c r="B16" s="5">
        <v>12</v>
      </c>
      <c r="C16" s="7" t="s">
        <v>94</v>
      </c>
      <c r="D16" s="7" t="str">
        <f>VLOOKUP(C16,Sheet1!K:M,3,)</f>
        <v>SEM-PNP-SMD 60V-0.6A-150℃-SOT23</v>
      </c>
      <c r="E16" s="8"/>
      <c r="F16" s="8"/>
      <c r="G16" s="8">
        <v>3000</v>
      </c>
      <c r="H16" s="8"/>
      <c r="I16" s="8">
        <v>3000</v>
      </c>
      <c r="J16" s="5">
        <v>3000</v>
      </c>
      <c r="K16" s="5">
        <f t="shared" si="0"/>
        <v>0</v>
      </c>
    </row>
    <row r="17" spans="1:11" x14ac:dyDescent="0.25">
      <c r="A17" s="5" t="s">
        <v>113</v>
      </c>
      <c r="B17" s="5">
        <v>13</v>
      </c>
      <c r="C17" s="7" t="s">
        <v>43</v>
      </c>
      <c r="D17" s="7" t="str">
        <f>VLOOKUP(C17,Sheet1!K:M,3,)</f>
        <v>SEM-PNP-SMD 60V-0.6A-150℃-SOT-23</v>
      </c>
      <c r="E17" s="8">
        <v>3000</v>
      </c>
      <c r="F17" s="8"/>
      <c r="G17" s="8"/>
      <c r="H17" s="8"/>
      <c r="I17" s="8">
        <v>3000</v>
      </c>
      <c r="J17" s="5">
        <v>3000</v>
      </c>
      <c r="K17" s="5">
        <f t="shared" si="0"/>
        <v>0</v>
      </c>
    </row>
    <row r="18" spans="1:11" x14ac:dyDescent="0.25">
      <c r="A18" s="5" t="s">
        <v>113</v>
      </c>
      <c r="B18" s="5">
        <v>14</v>
      </c>
      <c r="C18" s="7" t="s">
        <v>71</v>
      </c>
      <c r="D18" s="7" t="str">
        <f>VLOOKUP(C18,Sheet1!K:M,3,)</f>
        <v>SEM-NPN-SMD 80V-1A-150℃-SOT-89</v>
      </c>
      <c r="E18" s="8"/>
      <c r="F18" s="8">
        <v>4000</v>
      </c>
      <c r="G18" s="8"/>
      <c r="H18" s="8"/>
      <c r="I18" s="8">
        <v>4000</v>
      </c>
      <c r="J18" s="5">
        <f>4000*1</f>
        <v>4000</v>
      </c>
      <c r="K18" s="5">
        <f t="shared" si="0"/>
        <v>0</v>
      </c>
    </row>
    <row r="19" spans="1:11" x14ac:dyDescent="0.25">
      <c r="A19" s="5" t="s">
        <v>113</v>
      </c>
      <c r="B19" s="5">
        <v>15</v>
      </c>
      <c r="C19" s="7" t="s">
        <v>97</v>
      </c>
      <c r="D19" s="7" t="str">
        <f>VLOOKUP(C19,Sheet1!K:M,3,)</f>
        <v>SEM-N-MOS-SMD 600V-9A-0R36-150℃-TO-252-3</v>
      </c>
      <c r="E19" s="8"/>
      <c r="F19" s="8"/>
      <c r="G19" s="8">
        <v>2500</v>
      </c>
      <c r="H19" s="8"/>
      <c r="I19" s="8">
        <v>2500</v>
      </c>
      <c r="J19" s="5">
        <f>2500*1</f>
        <v>2500</v>
      </c>
      <c r="K19" s="5">
        <f t="shared" si="0"/>
        <v>0</v>
      </c>
    </row>
    <row r="20" spans="1:11" x14ac:dyDescent="0.25">
      <c r="A20" s="5" t="s">
        <v>113</v>
      </c>
      <c r="B20" s="5">
        <v>16</v>
      </c>
      <c r="C20" s="7" t="s">
        <v>61</v>
      </c>
      <c r="D20" s="7" t="str">
        <f>VLOOKUP(C20,Sheet1!K:M,3,)</f>
        <v>IC-PWM-Contr-SMD NCP1399ACDR2G 125℃-SOIC-16</v>
      </c>
      <c r="E20" s="8">
        <v>2500</v>
      </c>
      <c r="F20" s="8"/>
      <c r="G20" s="8"/>
      <c r="H20" s="8"/>
      <c r="I20" s="8">
        <v>2500</v>
      </c>
      <c r="J20" s="5">
        <f>2500*1</f>
        <v>2500</v>
      </c>
      <c r="K20" s="5">
        <f t="shared" si="0"/>
        <v>0</v>
      </c>
    </row>
    <row r="21" spans="1:11" x14ac:dyDescent="0.25">
      <c r="A21" s="5" t="s">
        <v>113</v>
      </c>
      <c r="B21" s="5">
        <v>17</v>
      </c>
      <c r="C21" s="7" t="s">
        <v>80</v>
      </c>
      <c r="D21" s="7" t="str">
        <f>VLOOKUP(C21,Sheet1!K:M,3,)</f>
        <v>IC-Vol-Reg-SMD LR431ATLT1G-125℃-SOT23-3</v>
      </c>
      <c r="E21" s="8"/>
      <c r="F21" s="8">
        <v>3000</v>
      </c>
      <c r="G21" s="8"/>
      <c r="H21" s="8"/>
      <c r="I21" s="8">
        <v>3000</v>
      </c>
      <c r="J21" s="5">
        <v>3000</v>
      </c>
      <c r="K21" s="5">
        <f t="shared" si="0"/>
        <v>0</v>
      </c>
    </row>
    <row r="22" spans="1:11" x14ac:dyDescent="0.25">
      <c r="A22" s="5" t="s">
        <v>113</v>
      </c>
      <c r="B22" s="5">
        <v>18</v>
      </c>
      <c r="C22" s="7" t="s">
        <v>105</v>
      </c>
      <c r="D22" s="7" t="str">
        <f>VLOOKUP(C22,Sheet1!K:M,3,)</f>
        <v>247*193*1.6 FR-4 1/2 60PP SMT 88.28%</v>
      </c>
      <c r="E22" s="8"/>
      <c r="F22" s="8"/>
      <c r="G22" s="8">
        <v>1020</v>
      </c>
      <c r="H22" s="8"/>
      <c r="I22" s="8">
        <v>1020</v>
      </c>
      <c r="J22" s="5">
        <f>1020*1</f>
        <v>1020</v>
      </c>
      <c r="K22" s="5">
        <f t="shared" si="0"/>
        <v>0</v>
      </c>
    </row>
    <row r="23" spans="1:11" x14ac:dyDescent="0.25">
      <c r="A23" s="5" t="s">
        <v>113</v>
      </c>
      <c r="B23" s="5">
        <v>19</v>
      </c>
      <c r="C23" s="7" t="s">
        <v>74</v>
      </c>
      <c r="D23" s="7" t="str">
        <f>VLOOKUP(C23,Sheet1!K:M,3,)</f>
        <v>233.5*193*1.6 FR-4 1/2 60PP SMT 83.45%-4</v>
      </c>
      <c r="E23" s="8"/>
      <c r="F23" s="8">
        <v>1200</v>
      </c>
      <c r="G23" s="8"/>
      <c r="H23" s="8"/>
      <c r="I23" s="8">
        <v>1200</v>
      </c>
      <c r="J23" s="5">
        <f>1020+180</f>
        <v>1200</v>
      </c>
      <c r="K23" s="5">
        <f t="shared" si="0"/>
        <v>0</v>
      </c>
    </row>
    <row r="24" spans="1:11" x14ac:dyDescent="0.25">
      <c r="A24" s="5" t="s">
        <v>113</v>
      </c>
      <c r="B24" s="5">
        <v>20</v>
      </c>
      <c r="C24" s="7" t="s">
        <v>101</v>
      </c>
      <c r="D24" s="7" t="str">
        <f>VLOOKUP(C24,Sheet1!K:M,3,)</f>
        <v>IN-PIN HEADER-RAD 1x8-LS2.54-PA6T(Copper Alloy)</v>
      </c>
      <c r="E24" s="8"/>
      <c r="F24" s="8"/>
      <c r="G24" s="8">
        <v>1000</v>
      </c>
      <c r="H24" s="8"/>
      <c r="I24" s="8">
        <v>1000</v>
      </c>
      <c r="J24" s="5">
        <v>1000</v>
      </c>
      <c r="K24" s="5">
        <f t="shared" si="0"/>
        <v>0</v>
      </c>
    </row>
    <row r="25" spans="1:11" x14ac:dyDescent="0.25">
      <c r="A25" s="5" t="s">
        <v>113</v>
      </c>
      <c r="B25" s="5">
        <v>21</v>
      </c>
      <c r="C25" s="7" t="s">
        <v>88</v>
      </c>
      <c r="D25" s="7" t="str">
        <f>VLOOKUP(C25,Sheet1!K:M,3,)</f>
        <v>IN-PIN HEADER-SMD 1x8-LS2.54-PA6T(Copper Alloy)</v>
      </c>
      <c r="E25" s="8"/>
      <c r="F25" s="8">
        <v>2000</v>
      </c>
      <c r="G25" s="8"/>
      <c r="H25" s="8"/>
      <c r="I25" s="8">
        <v>2000</v>
      </c>
      <c r="J25" s="5">
        <f>1000*2</f>
        <v>2000</v>
      </c>
      <c r="K25" s="5">
        <f t="shared" si="0"/>
        <v>0</v>
      </c>
    </row>
    <row r="26" spans="1:11" x14ac:dyDescent="0.25">
      <c r="A26" s="5"/>
      <c r="B26" s="5"/>
      <c r="C26" s="7" t="s">
        <v>109</v>
      </c>
      <c r="D26" s="7" t="e">
        <f>VLOOKUP(C26,Sheet1!K:M,3,)</f>
        <v>#N/A</v>
      </c>
      <c r="E26" s="8"/>
      <c r="F26" s="8"/>
      <c r="G26" s="8"/>
      <c r="H26" s="8"/>
      <c r="I26" s="8"/>
      <c r="J26" s="5"/>
      <c r="K26" s="5">
        <f t="shared" si="0"/>
        <v>0</v>
      </c>
    </row>
    <row r="27" spans="1:11" x14ac:dyDescent="0.25">
      <c r="A27" s="5"/>
      <c r="B27" s="5"/>
      <c r="C27" s="7" t="s">
        <v>110</v>
      </c>
      <c r="D27" s="7" t="e">
        <f>VLOOKUP(C27,Sheet1!K:M,3,)</f>
        <v>#N/A</v>
      </c>
      <c r="E27" s="8">
        <v>60500</v>
      </c>
      <c r="F27" s="8">
        <v>32200</v>
      </c>
      <c r="G27" s="8">
        <v>7520</v>
      </c>
      <c r="H27" s="8"/>
      <c r="I27" s="8">
        <v>100220</v>
      </c>
      <c r="J27" s="5"/>
      <c r="K27" s="5">
        <f t="shared" si="0"/>
        <v>-100220</v>
      </c>
    </row>
  </sheetData>
  <autoFilter ref="A4:K2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3"/>
  <sheetViews>
    <sheetView topLeftCell="I1" workbookViewId="0">
      <selection activeCell="A2" sqref="A2:XFD3"/>
    </sheetView>
  </sheetViews>
  <sheetFormatPr defaultRowHeight="15" x14ac:dyDescent="0.25"/>
  <cols>
    <col min="1" max="1" width="17.85546875" bestFit="1" customWidth="1"/>
    <col min="2" max="2" width="13.7109375" bestFit="1" customWidth="1"/>
    <col min="3" max="3" width="12.28515625" bestFit="1" customWidth="1"/>
    <col min="4" max="4" width="12.42578125" bestFit="1" customWidth="1"/>
    <col min="6" max="6" width="31.7109375" bestFit="1" customWidth="1"/>
    <col min="7" max="7" width="10.140625" bestFit="1" customWidth="1"/>
    <col min="8" max="9" width="36.5703125" bestFit="1" customWidth="1"/>
    <col min="10" max="10" width="9" bestFit="1" customWidth="1"/>
    <col min="11" max="11" width="28" bestFit="1" customWidth="1"/>
    <col min="12" max="13" width="36.5703125" bestFit="1" customWidth="1"/>
    <col min="14" max="14" width="16.42578125" bestFit="1" customWidth="1"/>
    <col min="15" max="15" width="36.5703125" bestFit="1" customWidth="1"/>
    <col min="16" max="16" width="20.42578125" bestFit="1" customWidth="1"/>
    <col min="17" max="17" width="27.28515625" bestFit="1" customWidth="1"/>
    <col min="18" max="18" width="13.85546875" bestFit="1" customWidth="1"/>
    <col min="19" max="20" width="15.28515625" bestFit="1" customWidth="1"/>
    <col min="21" max="21" width="36.5703125" bestFit="1" customWidth="1"/>
    <col min="22" max="22" width="19.85546875" bestFit="1" customWidth="1"/>
    <col min="23" max="24" width="19.7109375" bestFit="1" customWidth="1"/>
    <col min="25" max="25" width="31" bestFit="1" customWidth="1"/>
    <col min="26" max="26" width="21.7109375" bestFit="1" customWidth="1"/>
    <col min="27" max="27" width="36.5703125" bestFit="1" customWidth="1"/>
  </cols>
  <sheetData>
    <row r="1" spans="1:27" ht="16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14</v>
      </c>
      <c r="V1" s="1" t="s">
        <v>20</v>
      </c>
      <c r="W1" s="1" t="s">
        <v>21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 ht="16.5" customHeight="1" x14ac:dyDescent="0.25">
      <c r="A2" s="2" t="s">
        <v>38</v>
      </c>
      <c r="B2" s="2" t="s">
        <v>25</v>
      </c>
      <c r="C2" s="2" t="s">
        <v>26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/>
      <c r="J2" s="3">
        <v>1</v>
      </c>
      <c r="K2" s="2" t="s">
        <v>39</v>
      </c>
      <c r="L2" s="2" t="s">
        <v>40</v>
      </c>
      <c r="M2" s="2" t="s">
        <v>41</v>
      </c>
      <c r="N2" s="2" t="s">
        <v>31</v>
      </c>
      <c r="O2" s="2" t="s">
        <v>32</v>
      </c>
      <c r="P2" s="2" t="s">
        <v>42</v>
      </c>
      <c r="Q2" s="4">
        <v>2000</v>
      </c>
      <c r="R2" s="2" t="s">
        <v>33</v>
      </c>
      <c r="S2" s="4">
        <v>2000</v>
      </c>
      <c r="T2" s="2" t="s">
        <v>34</v>
      </c>
      <c r="U2" s="2" t="s">
        <v>35</v>
      </c>
      <c r="V2" s="2" t="s">
        <v>42</v>
      </c>
      <c r="W2" s="3">
        <v>0</v>
      </c>
      <c r="X2" s="3">
        <v>0</v>
      </c>
      <c r="Y2" s="2"/>
      <c r="Z2" s="3">
        <v>0</v>
      </c>
      <c r="AA2" s="2"/>
    </row>
    <row r="3" spans="1:27" ht="16.5" customHeight="1" x14ac:dyDescent="0.25">
      <c r="A3" s="2" t="s">
        <v>38</v>
      </c>
      <c r="B3" s="2" t="s">
        <v>25</v>
      </c>
      <c r="C3" s="2" t="s">
        <v>26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/>
      <c r="J3" s="3">
        <v>2</v>
      </c>
      <c r="K3" s="2" t="s">
        <v>43</v>
      </c>
      <c r="L3" s="2" t="s">
        <v>44</v>
      </c>
      <c r="M3" s="2" t="s">
        <v>45</v>
      </c>
      <c r="N3" s="2" t="s">
        <v>31</v>
      </c>
      <c r="O3" s="2" t="s">
        <v>32</v>
      </c>
      <c r="P3" s="2" t="s">
        <v>42</v>
      </c>
      <c r="Q3" s="4">
        <v>3000</v>
      </c>
      <c r="R3" s="2" t="s">
        <v>33</v>
      </c>
      <c r="S3" s="4">
        <v>3000</v>
      </c>
      <c r="T3" s="2" t="s">
        <v>34</v>
      </c>
      <c r="U3" s="2" t="s">
        <v>35</v>
      </c>
      <c r="V3" s="2" t="s">
        <v>42</v>
      </c>
      <c r="W3" s="3">
        <v>0</v>
      </c>
      <c r="X3" s="3">
        <v>0</v>
      </c>
      <c r="Y3" s="2"/>
      <c r="Z3" s="3">
        <v>0</v>
      </c>
      <c r="AA3" s="2"/>
    </row>
    <row r="4" spans="1:27" ht="16.5" customHeight="1" x14ac:dyDescent="0.25">
      <c r="A4" s="2" t="s">
        <v>38</v>
      </c>
      <c r="B4" s="2" t="s">
        <v>25</v>
      </c>
      <c r="C4" s="2" t="s">
        <v>26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/>
      <c r="J4" s="3">
        <v>3</v>
      </c>
      <c r="K4" s="2" t="s">
        <v>46</v>
      </c>
      <c r="L4" s="2" t="s">
        <v>36</v>
      </c>
      <c r="M4" s="2" t="s">
        <v>47</v>
      </c>
      <c r="N4" s="2" t="s">
        <v>31</v>
      </c>
      <c r="O4" s="2" t="s">
        <v>32</v>
      </c>
      <c r="P4" s="2" t="s">
        <v>37</v>
      </c>
      <c r="Q4" s="4">
        <v>10000</v>
      </c>
      <c r="R4" s="2" t="s">
        <v>33</v>
      </c>
      <c r="S4" s="4">
        <v>10000</v>
      </c>
      <c r="T4" s="2" t="s">
        <v>34</v>
      </c>
      <c r="U4" s="2" t="s">
        <v>35</v>
      </c>
      <c r="V4" s="2" t="s">
        <v>37</v>
      </c>
      <c r="W4" s="3">
        <v>0</v>
      </c>
      <c r="X4" s="3">
        <v>0</v>
      </c>
      <c r="Y4" s="2"/>
      <c r="Z4" s="3">
        <v>0</v>
      </c>
      <c r="AA4" s="2"/>
    </row>
    <row r="5" spans="1:27" ht="16.5" customHeight="1" x14ac:dyDescent="0.25">
      <c r="A5" s="2" t="s">
        <v>38</v>
      </c>
      <c r="B5" s="2" t="s">
        <v>25</v>
      </c>
      <c r="C5" s="2" t="s">
        <v>26</v>
      </c>
      <c r="D5" s="2" t="s">
        <v>26</v>
      </c>
      <c r="E5" s="2" t="s">
        <v>27</v>
      </c>
      <c r="F5" s="2" t="s">
        <v>28</v>
      </c>
      <c r="G5" s="2" t="s">
        <v>29</v>
      </c>
      <c r="H5" s="2" t="s">
        <v>30</v>
      </c>
      <c r="I5" s="2"/>
      <c r="J5" s="3">
        <v>4</v>
      </c>
      <c r="K5" s="2" t="s">
        <v>48</v>
      </c>
      <c r="L5" s="2" t="s">
        <v>36</v>
      </c>
      <c r="M5" s="2" t="s">
        <v>49</v>
      </c>
      <c r="N5" s="2" t="s">
        <v>31</v>
      </c>
      <c r="O5" s="2" t="s">
        <v>32</v>
      </c>
      <c r="P5" s="2" t="s">
        <v>50</v>
      </c>
      <c r="Q5" s="4">
        <v>10000</v>
      </c>
      <c r="R5" s="2" t="s">
        <v>33</v>
      </c>
      <c r="S5" s="4">
        <v>10000</v>
      </c>
      <c r="T5" s="2" t="s">
        <v>34</v>
      </c>
      <c r="U5" s="2" t="s">
        <v>35</v>
      </c>
      <c r="V5" s="2" t="s">
        <v>50</v>
      </c>
      <c r="W5" s="3">
        <v>0</v>
      </c>
      <c r="X5" s="3">
        <v>0</v>
      </c>
      <c r="Y5" s="2"/>
      <c r="Z5" s="3">
        <v>0</v>
      </c>
      <c r="AA5" s="2"/>
    </row>
    <row r="6" spans="1:27" ht="16.5" customHeight="1" x14ac:dyDescent="0.25">
      <c r="A6" s="2" t="s">
        <v>38</v>
      </c>
      <c r="B6" s="2" t="s">
        <v>25</v>
      </c>
      <c r="C6" s="2" t="s">
        <v>26</v>
      </c>
      <c r="D6" s="2" t="s">
        <v>26</v>
      </c>
      <c r="E6" s="2" t="s">
        <v>27</v>
      </c>
      <c r="F6" s="2" t="s">
        <v>28</v>
      </c>
      <c r="G6" s="2" t="s">
        <v>29</v>
      </c>
      <c r="H6" s="2" t="s">
        <v>30</v>
      </c>
      <c r="I6" s="2"/>
      <c r="J6" s="3">
        <v>5</v>
      </c>
      <c r="K6" s="2" t="s">
        <v>51</v>
      </c>
      <c r="L6" s="2" t="s">
        <v>52</v>
      </c>
      <c r="M6" s="2" t="s">
        <v>53</v>
      </c>
      <c r="N6" s="2" t="s">
        <v>31</v>
      </c>
      <c r="O6" s="2" t="s">
        <v>32</v>
      </c>
      <c r="P6" s="2" t="s">
        <v>37</v>
      </c>
      <c r="Q6" s="4">
        <v>4000</v>
      </c>
      <c r="R6" s="2" t="s">
        <v>33</v>
      </c>
      <c r="S6" s="4">
        <v>4000</v>
      </c>
      <c r="T6" s="2" t="s">
        <v>34</v>
      </c>
      <c r="U6" s="2" t="s">
        <v>35</v>
      </c>
      <c r="V6" s="2" t="s">
        <v>37</v>
      </c>
      <c r="W6" s="3">
        <v>0</v>
      </c>
      <c r="X6" s="3">
        <v>0</v>
      </c>
      <c r="Y6" s="2"/>
      <c r="Z6" s="3">
        <v>0</v>
      </c>
      <c r="AA6" s="2"/>
    </row>
    <row r="7" spans="1:27" ht="16.5" customHeight="1" x14ac:dyDescent="0.25">
      <c r="A7" s="2" t="s">
        <v>38</v>
      </c>
      <c r="B7" s="2" t="s">
        <v>25</v>
      </c>
      <c r="C7" s="2" t="s">
        <v>26</v>
      </c>
      <c r="D7" s="2" t="s">
        <v>26</v>
      </c>
      <c r="E7" s="2" t="s">
        <v>27</v>
      </c>
      <c r="F7" s="2" t="s">
        <v>28</v>
      </c>
      <c r="G7" s="2" t="s">
        <v>29</v>
      </c>
      <c r="H7" s="2" t="s">
        <v>30</v>
      </c>
      <c r="I7" s="2"/>
      <c r="J7" s="3">
        <v>6</v>
      </c>
      <c r="K7" s="2" t="s">
        <v>54</v>
      </c>
      <c r="L7" s="2" t="s">
        <v>55</v>
      </c>
      <c r="M7" s="2" t="s">
        <v>56</v>
      </c>
      <c r="N7" s="2" t="s">
        <v>31</v>
      </c>
      <c r="O7" s="2" t="s">
        <v>32</v>
      </c>
      <c r="P7" s="2" t="s">
        <v>37</v>
      </c>
      <c r="Q7" s="4">
        <v>3000</v>
      </c>
      <c r="R7" s="2" t="s">
        <v>33</v>
      </c>
      <c r="S7" s="4">
        <v>3000</v>
      </c>
      <c r="T7" s="2" t="s">
        <v>34</v>
      </c>
      <c r="U7" s="2" t="s">
        <v>35</v>
      </c>
      <c r="V7" s="2" t="s">
        <v>37</v>
      </c>
      <c r="W7" s="3">
        <v>0</v>
      </c>
      <c r="X7" s="3">
        <v>0</v>
      </c>
      <c r="Y7" s="2"/>
      <c r="Z7" s="3">
        <v>0</v>
      </c>
      <c r="AA7" s="2"/>
    </row>
    <row r="8" spans="1:27" ht="16.5" customHeight="1" x14ac:dyDescent="0.25">
      <c r="A8" s="2" t="s">
        <v>38</v>
      </c>
      <c r="B8" s="2" t="s">
        <v>25</v>
      </c>
      <c r="C8" s="2" t="s">
        <v>26</v>
      </c>
      <c r="D8" s="2" t="s">
        <v>26</v>
      </c>
      <c r="E8" s="2" t="s">
        <v>27</v>
      </c>
      <c r="F8" s="2" t="s">
        <v>28</v>
      </c>
      <c r="G8" s="2" t="s">
        <v>29</v>
      </c>
      <c r="H8" s="2" t="s">
        <v>30</v>
      </c>
      <c r="I8" s="2"/>
      <c r="J8" s="3">
        <v>7</v>
      </c>
      <c r="K8" s="2" t="s">
        <v>57</v>
      </c>
      <c r="L8" s="2" t="s">
        <v>58</v>
      </c>
      <c r="M8" s="2" t="s">
        <v>59</v>
      </c>
      <c r="N8" s="2" t="s">
        <v>31</v>
      </c>
      <c r="O8" s="2" t="s">
        <v>32</v>
      </c>
      <c r="P8" s="2" t="s">
        <v>60</v>
      </c>
      <c r="Q8" s="4">
        <v>1000</v>
      </c>
      <c r="R8" s="2" t="s">
        <v>33</v>
      </c>
      <c r="S8" s="4">
        <v>1000</v>
      </c>
      <c r="T8" s="2" t="s">
        <v>34</v>
      </c>
      <c r="U8" s="2" t="s">
        <v>35</v>
      </c>
      <c r="V8" s="2" t="s">
        <v>60</v>
      </c>
      <c r="W8" s="3">
        <v>0</v>
      </c>
      <c r="X8" s="3">
        <v>0</v>
      </c>
      <c r="Y8" s="2"/>
      <c r="Z8" s="3">
        <v>0</v>
      </c>
      <c r="AA8" s="2"/>
    </row>
    <row r="9" spans="1:27" ht="16.5" customHeight="1" x14ac:dyDescent="0.25">
      <c r="A9" s="2" t="s">
        <v>38</v>
      </c>
      <c r="B9" s="2" t="s">
        <v>25</v>
      </c>
      <c r="C9" s="2" t="s">
        <v>26</v>
      </c>
      <c r="D9" s="2" t="s">
        <v>26</v>
      </c>
      <c r="E9" s="2" t="s">
        <v>27</v>
      </c>
      <c r="F9" s="2" t="s">
        <v>28</v>
      </c>
      <c r="G9" s="2" t="s">
        <v>29</v>
      </c>
      <c r="H9" s="2" t="s">
        <v>30</v>
      </c>
      <c r="I9" s="2"/>
      <c r="J9" s="3">
        <v>8</v>
      </c>
      <c r="K9" s="2" t="s">
        <v>61</v>
      </c>
      <c r="L9" s="2" t="s">
        <v>62</v>
      </c>
      <c r="M9" s="2" t="s">
        <v>63</v>
      </c>
      <c r="N9" s="2" t="s">
        <v>31</v>
      </c>
      <c r="O9" s="2" t="s">
        <v>32</v>
      </c>
      <c r="P9" s="2" t="s">
        <v>42</v>
      </c>
      <c r="Q9" s="4">
        <v>2500</v>
      </c>
      <c r="R9" s="2" t="s">
        <v>33</v>
      </c>
      <c r="S9" s="4">
        <v>2500</v>
      </c>
      <c r="T9" s="2" t="s">
        <v>34</v>
      </c>
      <c r="U9" s="2" t="s">
        <v>35</v>
      </c>
      <c r="V9" s="2" t="s">
        <v>42</v>
      </c>
      <c r="W9" s="3">
        <v>0</v>
      </c>
      <c r="X9" s="3">
        <v>0</v>
      </c>
      <c r="Y9" s="2"/>
      <c r="Z9" s="3">
        <v>0</v>
      </c>
      <c r="AA9" s="2"/>
    </row>
    <row r="10" spans="1:27" ht="16.5" customHeight="1" x14ac:dyDescent="0.25">
      <c r="A10" s="2" t="s">
        <v>38</v>
      </c>
      <c r="B10" s="2" t="s">
        <v>25</v>
      </c>
      <c r="C10" s="2" t="s">
        <v>26</v>
      </c>
      <c r="D10" s="2" t="s">
        <v>26</v>
      </c>
      <c r="E10" s="2" t="s">
        <v>27</v>
      </c>
      <c r="F10" s="2" t="s">
        <v>28</v>
      </c>
      <c r="G10" s="2" t="s">
        <v>29</v>
      </c>
      <c r="H10" s="2" t="s">
        <v>30</v>
      </c>
      <c r="I10" s="2"/>
      <c r="J10" s="3">
        <v>9</v>
      </c>
      <c r="K10" s="2" t="s">
        <v>64</v>
      </c>
      <c r="L10" s="2" t="s">
        <v>36</v>
      </c>
      <c r="M10" s="2" t="s">
        <v>65</v>
      </c>
      <c r="N10" s="2" t="s">
        <v>31</v>
      </c>
      <c r="O10" s="2" t="s">
        <v>32</v>
      </c>
      <c r="P10" s="2" t="s">
        <v>37</v>
      </c>
      <c r="Q10" s="4">
        <v>5000</v>
      </c>
      <c r="R10" s="2" t="s">
        <v>33</v>
      </c>
      <c r="S10" s="4">
        <v>5000</v>
      </c>
      <c r="T10" s="2" t="s">
        <v>34</v>
      </c>
      <c r="U10" s="2" t="s">
        <v>35</v>
      </c>
      <c r="V10" s="2" t="s">
        <v>37</v>
      </c>
      <c r="W10" s="3">
        <v>0</v>
      </c>
      <c r="X10" s="3">
        <v>0</v>
      </c>
      <c r="Y10" s="2"/>
      <c r="Z10" s="3">
        <v>0</v>
      </c>
      <c r="AA10" s="2"/>
    </row>
    <row r="11" spans="1:27" ht="16.5" customHeight="1" x14ac:dyDescent="0.25">
      <c r="A11" s="2" t="s">
        <v>38</v>
      </c>
      <c r="B11" s="2" t="s">
        <v>25</v>
      </c>
      <c r="C11" s="2" t="s">
        <v>26</v>
      </c>
      <c r="D11" s="2" t="s">
        <v>26</v>
      </c>
      <c r="E11" s="2" t="s">
        <v>27</v>
      </c>
      <c r="F11" s="2" t="s">
        <v>28</v>
      </c>
      <c r="G11" s="2" t="s">
        <v>29</v>
      </c>
      <c r="H11" s="2" t="s">
        <v>30</v>
      </c>
      <c r="I11" s="2"/>
      <c r="J11" s="3">
        <v>10</v>
      </c>
      <c r="K11" s="2" t="s">
        <v>66</v>
      </c>
      <c r="L11" s="2" t="s">
        <v>36</v>
      </c>
      <c r="M11" s="2" t="s">
        <v>67</v>
      </c>
      <c r="N11" s="2" t="s">
        <v>31</v>
      </c>
      <c r="O11" s="2" t="s">
        <v>32</v>
      </c>
      <c r="P11" s="2" t="s">
        <v>37</v>
      </c>
      <c r="Q11" s="4">
        <v>10000</v>
      </c>
      <c r="R11" s="2" t="s">
        <v>33</v>
      </c>
      <c r="S11" s="4">
        <v>10000</v>
      </c>
      <c r="T11" s="2" t="s">
        <v>34</v>
      </c>
      <c r="U11" s="2" t="s">
        <v>35</v>
      </c>
      <c r="V11" s="2" t="s">
        <v>37</v>
      </c>
      <c r="W11" s="3">
        <v>0</v>
      </c>
      <c r="X11" s="3">
        <v>0</v>
      </c>
      <c r="Y11" s="2"/>
      <c r="Z11" s="3">
        <v>0</v>
      </c>
      <c r="AA11" s="2"/>
    </row>
    <row r="12" spans="1:27" ht="16.5" customHeight="1" x14ac:dyDescent="0.25">
      <c r="A12" s="2" t="s">
        <v>38</v>
      </c>
      <c r="B12" s="2" t="s">
        <v>25</v>
      </c>
      <c r="C12" s="2" t="s">
        <v>26</v>
      </c>
      <c r="D12" s="2" t="s">
        <v>26</v>
      </c>
      <c r="E12" s="2" t="s">
        <v>27</v>
      </c>
      <c r="F12" s="2" t="s">
        <v>28</v>
      </c>
      <c r="G12" s="2" t="s">
        <v>29</v>
      </c>
      <c r="H12" s="2" t="s">
        <v>30</v>
      </c>
      <c r="I12" s="2"/>
      <c r="J12" s="3">
        <v>11</v>
      </c>
      <c r="K12" s="2" t="s">
        <v>68</v>
      </c>
      <c r="L12" s="2" t="s">
        <v>36</v>
      </c>
      <c r="M12" s="2" t="s">
        <v>69</v>
      </c>
      <c r="N12" s="2" t="s">
        <v>31</v>
      </c>
      <c r="O12" s="2" t="s">
        <v>32</v>
      </c>
      <c r="P12" s="2" t="s">
        <v>50</v>
      </c>
      <c r="Q12" s="4">
        <v>10000</v>
      </c>
      <c r="R12" s="2" t="s">
        <v>33</v>
      </c>
      <c r="S12" s="4">
        <v>10000</v>
      </c>
      <c r="T12" s="2" t="s">
        <v>34</v>
      </c>
      <c r="U12" s="2" t="s">
        <v>35</v>
      </c>
      <c r="V12" s="2" t="s">
        <v>50</v>
      </c>
      <c r="W12" s="3">
        <v>0</v>
      </c>
      <c r="X12" s="3">
        <v>0</v>
      </c>
      <c r="Y12" s="2"/>
      <c r="Z12" s="3">
        <v>0</v>
      </c>
      <c r="AA12" s="2"/>
    </row>
    <row r="13" spans="1:27" ht="16.5" customHeight="1" x14ac:dyDescent="0.25">
      <c r="A13" s="2" t="s">
        <v>70</v>
      </c>
      <c r="B13" s="2" t="s">
        <v>25</v>
      </c>
      <c r="C13" s="2" t="s">
        <v>26</v>
      </c>
      <c r="D13" s="2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/>
      <c r="J13" s="3">
        <v>1</v>
      </c>
      <c r="K13" s="2" t="s">
        <v>71</v>
      </c>
      <c r="L13" s="2" t="s">
        <v>72</v>
      </c>
      <c r="M13" s="2" t="s">
        <v>73</v>
      </c>
      <c r="N13" s="2" t="s">
        <v>31</v>
      </c>
      <c r="O13" s="2" t="s">
        <v>32</v>
      </c>
      <c r="P13" s="2" t="s">
        <v>50</v>
      </c>
      <c r="Q13" s="4">
        <v>4000</v>
      </c>
      <c r="R13" s="2" t="s">
        <v>33</v>
      </c>
      <c r="S13" s="4">
        <v>4000</v>
      </c>
      <c r="T13" s="2" t="s">
        <v>34</v>
      </c>
      <c r="U13" s="2" t="s">
        <v>35</v>
      </c>
      <c r="V13" s="2" t="s">
        <v>50</v>
      </c>
      <c r="W13" s="3">
        <v>0</v>
      </c>
      <c r="X13" s="3">
        <v>0</v>
      </c>
      <c r="Y13" s="2"/>
      <c r="Z13" s="3">
        <v>0</v>
      </c>
      <c r="AA13" s="2"/>
    </row>
    <row r="14" spans="1:27" ht="16.5" customHeight="1" x14ac:dyDescent="0.25">
      <c r="A14" s="2" t="s">
        <v>70</v>
      </c>
      <c r="B14" s="2" t="s">
        <v>25</v>
      </c>
      <c r="C14" s="2" t="s">
        <v>26</v>
      </c>
      <c r="D14" s="2" t="s">
        <v>26</v>
      </c>
      <c r="E14" s="2" t="s">
        <v>27</v>
      </c>
      <c r="F14" s="2" t="s">
        <v>28</v>
      </c>
      <c r="G14" s="2" t="s">
        <v>29</v>
      </c>
      <c r="H14" s="2" t="s">
        <v>30</v>
      </c>
      <c r="I14" s="2"/>
      <c r="J14" s="3">
        <v>2</v>
      </c>
      <c r="K14" s="2" t="s">
        <v>74</v>
      </c>
      <c r="L14" s="2" t="s">
        <v>75</v>
      </c>
      <c r="M14" s="2" t="s">
        <v>76</v>
      </c>
      <c r="N14" s="2" t="s">
        <v>31</v>
      </c>
      <c r="O14" s="2" t="s">
        <v>32</v>
      </c>
      <c r="P14" s="2" t="s">
        <v>77</v>
      </c>
      <c r="Q14" s="4">
        <v>1080</v>
      </c>
      <c r="R14" s="2" t="s">
        <v>33</v>
      </c>
      <c r="S14" s="4">
        <v>1080</v>
      </c>
      <c r="T14" s="2" t="s">
        <v>34</v>
      </c>
      <c r="U14" s="2" t="s">
        <v>35</v>
      </c>
      <c r="V14" s="2" t="s">
        <v>77</v>
      </c>
      <c r="W14" s="3">
        <v>0</v>
      </c>
      <c r="X14" s="3">
        <v>0</v>
      </c>
      <c r="Y14" s="2"/>
      <c r="Z14" s="3">
        <v>0</v>
      </c>
      <c r="AA14" s="2"/>
    </row>
    <row r="15" spans="1:27" ht="16.5" customHeight="1" x14ac:dyDescent="0.25">
      <c r="A15" s="2" t="s">
        <v>70</v>
      </c>
      <c r="B15" s="2" t="s">
        <v>25</v>
      </c>
      <c r="C15" s="2" t="s">
        <v>26</v>
      </c>
      <c r="D15" s="2" t="s">
        <v>26</v>
      </c>
      <c r="E15" s="2" t="s">
        <v>27</v>
      </c>
      <c r="F15" s="2" t="s">
        <v>28</v>
      </c>
      <c r="G15" s="2" t="s">
        <v>29</v>
      </c>
      <c r="H15" s="2" t="s">
        <v>30</v>
      </c>
      <c r="I15" s="2"/>
      <c r="J15" s="3">
        <v>3</v>
      </c>
      <c r="K15" s="2" t="s">
        <v>78</v>
      </c>
      <c r="L15" s="2" t="s">
        <v>40</v>
      </c>
      <c r="M15" s="2" t="s">
        <v>79</v>
      </c>
      <c r="N15" s="2" t="s">
        <v>31</v>
      </c>
      <c r="O15" s="2" t="s">
        <v>32</v>
      </c>
      <c r="P15" s="2" t="s">
        <v>50</v>
      </c>
      <c r="Q15" s="4">
        <v>4000</v>
      </c>
      <c r="R15" s="2" t="s">
        <v>33</v>
      </c>
      <c r="S15" s="4">
        <v>4000</v>
      </c>
      <c r="T15" s="2" t="s">
        <v>34</v>
      </c>
      <c r="U15" s="2" t="s">
        <v>35</v>
      </c>
      <c r="V15" s="2" t="s">
        <v>50</v>
      </c>
      <c r="W15" s="3">
        <v>0</v>
      </c>
      <c r="X15" s="3">
        <v>0</v>
      </c>
      <c r="Y15" s="2"/>
      <c r="Z15" s="3">
        <v>0</v>
      </c>
      <c r="AA15" s="2"/>
    </row>
    <row r="16" spans="1:27" ht="16.5" customHeight="1" x14ac:dyDescent="0.25">
      <c r="A16" s="2" t="s">
        <v>70</v>
      </c>
      <c r="B16" s="2" t="s">
        <v>25</v>
      </c>
      <c r="C16" s="2" t="s">
        <v>26</v>
      </c>
      <c r="D16" s="2" t="s">
        <v>26</v>
      </c>
      <c r="E16" s="2" t="s">
        <v>27</v>
      </c>
      <c r="F16" s="2" t="s">
        <v>28</v>
      </c>
      <c r="G16" s="2" t="s">
        <v>29</v>
      </c>
      <c r="H16" s="2" t="s">
        <v>30</v>
      </c>
      <c r="I16" s="2"/>
      <c r="J16" s="3">
        <v>5</v>
      </c>
      <c r="K16" s="2" t="s">
        <v>80</v>
      </c>
      <c r="L16" s="2" t="s">
        <v>81</v>
      </c>
      <c r="M16" s="2" t="s">
        <v>82</v>
      </c>
      <c r="N16" s="2" t="s">
        <v>31</v>
      </c>
      <c r="O16" s="2" t="s">
        <v>32</v>
      </c>
      <c r="P16" s="2" t="s">
        <v>83</v>
      </c>
      <c r="Q16" s="4">
        <v>3000</v>
      </c>
      <c r="R16" s="2" t="s">
        <v>33</v>
      </c>
      <c r="S16" s="4">
        <v>3000</v>
      </c>
      <c r="T16" s="2" t="s">
        <v>34</v>
      </c>
      <c r="U16" s="2" t="s">
        <v>35</v>
      </c>
      <c r="V16" s="2" t="s">
        <v>83</v>
      </c>
      <c r="W16" s="3">
        <v>0</v>
      </c>
      <c r="X16" s="3">
        <v>0</v>
      </c>
      <c r="Y16" s="2"/>
      <c r="Z16" s="3">
        <v>0</v>
      </c>
      <c r="AA16" s="2"/>
    </row>
    <row r="17" spans="1:27" ht="16.5" customHeight="1" x14ac:dyDescent="0.25">
      <c r="A17" s="2" t="s">
        <v>70</v>
      </c>
      <c r="B17" s="2" t="s">
        <v>25</v>
      </c>
      <c r="C17" s="2" t="s">
        <v>26</v>
      </c>
      <c r="D17" s="2" t="s">
        <v>26</v>
      </c>
      <c r="E17" s="2" t="s">
        <v>27</v>
      </c>
      <c r="F17" s="2" t="s">
        <v>28</v>
      </c>
      <c r="G17" s="2" t="s">
        <v>29</v>
      </c>
      <c r="H17" s="2" t="s">
        <v>30</v>
      </c>
      <c r="I17" s="2"/>
      <c r="J17" s="3">
        <v>6</v>
      </c>
      <c r="K17" s="2" t="s">
        <v>84</v>
      </c>
      <c r="L17" s="2" t="s">
        <v>85</v>
      </c>
      <c r="M17" s="2" t="s">
        <v>86</v>
      </c>
      <c r="N17" s="2" t="s">
        <v>31</v>
      </c>
      <c r="O17" s="2" t="s">
        <v>32</v>
      </c>
      <c r="P17" s="2" t="s">
        <v>87</v>
      </c>
      <c r="Q17" s="4">
        <v>18000</v>
      </c>
      <c r="R17" s="2" t="s">
        <v>33</v>
      </c>
      <c r="S17" s="4">
        <v>18000</v>
      </c>
      <c r="T17" s="2" t="s">
        <v>34</v>
      </c>
      <c r="U17" s="2" t="s">
        <v>35</v>
      </c>
      <c r="V17" s="2" t="s">
        <v>87</v>
      </c>
      <c r="W17" s="3">
        <v>0</v>
      </c>
      <c r="X17" s="3">
        <v>0</v>
      </c>
      <c r="Y17" s="2"/>
      <c r="Z17" s="3">
        <v>0</v>
      </c>
      <c r="AA17" s="2"/>
    </row>
    <row r="18" spans="1:27" ht="16.5" customHeight="1" x14ac:dyDescent="0.25">
      <c r="A18" s="2" t="s">
        <v>70</v>
      </c>
      <c r="B18" s="2" t="s">
        <v>25</v>
      </c>
      <c r="C18" s="2" t="s">
        <v>26</v>
      </c>
      <c r="D18" s="2" t="s">
        <v>26</v>
      </c>
      <c r="E18" s="2" t="s">
        <v>27</v>
      </c>
      <c r="F18" s="2" t="s">
        <v>28</v>
      </c>
      <c r="G18" s="2" t="s">
        <v>29</v>
      </c>
      <c r="H18" s="2" t="s">
        <v>30</v>
      </c>
      <c r="I18" s="2"/>
      <c r="J18" s="3">
        <v>7</v>
      </c>
      <c r="K18" s="2" t="s">
        <v>88</v>
      </c>
      <c r="L18" s="2" t="s">
        <v>89</v>
      </c>
      <c r="M18" s="2" t="s">
        <v>90</v>
      </c>
      <c r="N18" s="2" t="s">
        <v>31</v>
      </c>
      <c r="O18" s="2" t="s">
        <v>32</v>
      </c>
      <c r="P18" s="2" t="s">
        <v>91</v>
      </c>
      <c r="Q18" s="4">
        <v>2000</v>
      </c>
      <c r="R18" s="2" t="s">
        <v>33</v>
      </c>
      <c r="S18" s="4">
        <v>2000</v>
      </c>
      <c r="T18" s="2" t="s">
        <v>34</v>
      </c>
      <c r="U18" s="2" t="s">
        <v>35</v>
      </c>
      <c r="V18" s="2" t="s">
        <v>91</v>
      </c>
      <c r="W18" s="3">
        <v>0</v>
      </c>
      <c r="X18" s="3">
        <v>0</v>
      </c>
      <c r="Y18" s="2"/>
      <c r="Z18" s="3">
        <v>0</v>
      </c>
      <c r="AA18" s="2"/>
    </row>
    <row r="19" spans="1:27" ht="16.5" customHeight="1" x14ac:dyDescent="0.25">
      <c r="A19" s="2" t="s">
        <v>70</v>
      </c>
      <c r="B19" s="2" t="s">
        <v>25</v>
      </c>
      <c r="C19" s="2" t="s">
        <v>26</v>
      </c>
      <c r="D19" s="2" t="s">
        <v>26</v>
      </c>
      <c r="E19" s="2" t="s">
        <v>27</v>
      </c>
      <c r="F19" s="2" t="s">
        <v>28</v>
      </c>
      <c r="G19" s="2" t="s">
        <v>29</v>
      </c>
      <c r="H19" s="2" t="s">
        <v>30</v>
      </c>
      <c r="I19" s="2"/>
      <c r="J19" s="3">
        <v>8</v>
      </c>
      <c r="K19" s="2" t="s">
        <v>74</v>
      </c>
      <c r="L19" s="2" t="s">
        <v>75</v>
      </c>
      <c r="M19" s="2" t="s">
        <v>76</v>
      </c>
      <c r="N19" s="2" t="s">
        <v>31</v>
      </c>
      <c r="O19" s="2" t="s">
        <v>32</v>
      </c>
      <c r="P19" s="2" t="s">
        <v>92</v>
      </c>
      <c r="Q19" s="4">
        <v>120</v>
      </c>
      <c r="R19" s="2" t="s">
        <v>33</v>
      </c>
      <c r="S19" s="4">
        <v>120</v>
      </c>
      <c r="T19" s="2" t="s">
        <v>34</v>
      </c>
      <c r="U19" s="2" t="s">
        <v>35</v>
      </c>
      <c r="V19" s="2" t="s">
        <v>92</v>
      </c>
      <c r="W19" s="3">
        <v>0</v>
      </c>
      <c r="X19" s="3">
        <v>0</v>
      </c>
      <c r="Y19" s="2"/>
      <c r="Z19" s="3">
        <v>0</v>
      </c>
      <c r="AA19" s="2"/>
    </row>
    <row r="20" spans="1:27" ht="16.5" customHeight="1" x14ac:dyDescent="0.25">
      <c r="A20" s="2" t="s">
        <v>93</v>
      </c>
      <c r="B20" s="2" t="s">
        <v>25</v>
      </c>
      <c r="C20" s="2" t="s">
        <v>26</v>
      </c>
      <c r="D20" s="2" t="s">
        <v>26</v>
      </c>
      <c r="E20" s="2" t="s">
        <v>27</v>
      </c>
      <c r="F20" s="2" t="s">
        <v>28</v>
      </c>
      <c r="G20" s="2" t="s">
        <v>29</v>
      </c>
      <c r="H20" s="2" t="s">
        <v>30</v>
      </c>
      <c r="I20" s="2"/>
      <c r="J20" s="3">
        <v>1</v>
      </c>
      <c r="K20" s="2" t="s">
        <v>94</v>
      </c>
      <c r="L20" s="2" t="s">
        <v>95</v>
      </c>
      <c r="M20" s="2" t="s">
        <v>96</v>
      </c>
      <c r="N20" s="2" t="s">
        <v>31</v>
      </c>
      <c r="O20" s="2" t="s">
        <v>32</v>
      </c>
      <c r="P20" s="2" t="s">
        <v>87</v>
      </c>
      <c r="Q20" s="4">
        <v>3000</v>
      </c>
      <c r="R20" s="2" t="s">
        <v>33</v>
      </c>
      <c r="S20" s="4">
        <v>3000</v>
      </c>
      <c r="T20" s="2" t="s">
        <v>34</v>
      </c>
      <c r="U20" s="2" t="s">
        <v>35</v>
      </c>
      <c r="V20" s="2" t="s">
        <v>87</v>
      </c>
      <c r="W20" s="3">
        <v>0</v>
      </c>
      <c r="X20" s="3">
        <v>0</v>
      </c>
      <c r="Y20" s="2"/>
      <c r="Z20" s="3">
        <v>0</v>
      </c>
      <c r="AA20" s="2"/>
    </row>
    <row r="21" spans="1:27" ht="16.5" customHeight="1" x14ac:dyDescent="0.25">
      <c r="A21" s="2" t="s">
        <v>93</v>
      </c>
      <c r="B21" s="2" t="s">
        <v>25</v>
      </c>
      <c r="C21" s="2" t="s">
        <v>26</v>
      </c>
      <c r="D21" s="2" t="s">
        <v>26</v>
      </c>
      <c r="E21" s="2" t="s">
        <v>27</v>
      </c>
      <c r="F21" s="2" t="s">
        <v>28</v>
      </c>
      <c r="G21" s="2" t="s">
        <v>29</v>
      </c>
      <c r="H21" s="2" t="s">
        <v>30</v>
      </c>
      <c r="I21" s="2"/>
      <c r="J21" s="3">
        <v>2</v>
      </c>
      <c r="K21" s="2" t="s">
        <v>97</v>
      </c>
      <c r="L21" s="2" t="s">
        <v>98</v>
      </c>
      <c r="M21" s="2" t="s">
        <v>99</v>
      </c>
      <c r="N21" s="2" t="s">
        <v>31</v>
      </c>
      <c r="O21" s="2" t="s">
        <v>32</v>
      </c>
      <c r="P21" s="2" t="s">
        <v>100</v>
      </c>
      <c r="Q21" s="4">
        <v>2500</v>
      </c>
      <c r="R21" s="2" t="s">
        <v>33</v>
      </c>
      <c r="S21" s="4">
        <v>2500</v>
      </c>
      <c r="T21" s="2" t="s">
        <v>34</v>
      </c>
      <c r="U21" s="2" t="s">
        <v>35</v>
      </c>
      <c r="V21" s="2" t="s">
        <v>100</v>
      </c>
      <c r="W21" s="3">
        <v>0</v>
      </c>
      <c r="X21" s="3">
        <v>0</v>
      </c>
      <c r="Y21" s="2"/>
      <c r="Z21" s="3">
        <v>0</v>
      </c>
      <c r="AA21" s="2"/>
    </row>
    <row r="22" spans="1:27" ht="16.5" customHeight="1" x14ac:dyDescent="0.25">
      <c r="A22" s="2" t="s">
        <v>93</v>
      </c>
      <c r="B22" s="2" t="s">
        <v>25</v>
      </c>
      <c r="C22" s="2" t="s">
        <v>26</v>
      </c>
      <c r="D22" s="2" t="s">
        <v>26</v>
      </c>
      <c r="E22" s="2" t="s">
        <v>27</v>
      </c>
      <c r="F22" s="2" t="s">
        <v>28</v>
      </c>
      <c r="G22" s="2" t="s">
        <v>29</v>
      </c>
      <c r="H22" s="2" t="s">
        <v>30</v>
      </c>
      <c r="I22" s="2"/>
      <c r="J22" s="3">
        <v>3</v>
      </c>
      <c r="K22" s="2" t="s">
        <v>101</v>
      </c>
      <c r="L22" s="2" t="s">
        <v>102</v>
      </c>
      <c r="M22" s="2" t="s">
        <v>103</v>
      </c>
      <c r="N22" s="2" t="s">
        <v>31</v>
      </c>
      <c r="O22" s="2" t="s">
        <v>32</v>
      </c>
      <c r="P22" s="2" t="s">
        <v>104</v>
      </c>
      <c r="Q22" s="4">
        <v>1000</v>
      </c>
      <c r="R22" s="2" t="s">
        <v>33</v>
      </c>
      <c r="S22" s="4">
        <v>1000</v>
      </c>
      <c r="T22" s="2" t="s">
        <v>34</v>
      </c>
      <c r="U22" s="2" t="s">
        <v>35</v>
      </c>
      <c r="V22" s="2" t="s">
        <v>104</v>
      </c>
      <c r="W22" s="3">
        <v>0</v>
      </c>
      <c r="X22" s="3">
        <v>0</v>
      </c>
      <c r="Y22" s="2"/>
      <c r="Z22" s="3">
        <v>0</v>
      </c>
      <c r="AA22" s="2"/>
    </row>
    <row r="23" spans="1:27" ht="16.5" customHeight="1" x14ac:dyDescent="0.25">
      <c r="A23" s="2" t="s">
        <v>93</v>
      </c>
      <c r="B23" s="2" t="s">
        <v>25</v>
      </c>
      <c r="C23" s="2" t="s">
        <v>26</v>
      </c>
      <c r="D23" s="2" t="s">
        <v>26</v>
      </c>
      <c r="E23" s="2" t="s">
        <v>27</v>
      </c>
      <c r="F23" s="2" t="s">
        <v>28</v>
      </c>
      <c r="G23" s="2" t="s">
        <v>29</v>
      </c>
      <c r="H23" s="2" t="s">
        <v>30</v>
      </c>
      <c r="I23" s="2"/>
      <c r="J23" s="3">
        <v>4</v>
      </c>
      <c r="K23" s="2" t="s">
        <v>105</v>
      </c>
      <c r="L23" s="2" t="s">
        <v>106</v>
      </c>
      <c r="M23" s="2" t="s">
        <v>107</v>
      </c>
      <c r="N23" s="2" t="s">
        <v>31</v>
      </c>
      <c r="O23" s="2" t="s">
        <v>32</v>
      </c>
      <c r="P23" s="2" t="s">
        <v>104</v>
      </c>
      <c r="Q23" s="4">
        <v>1020</v>
      </c>
      <c r="R23" s="2" t="s">
        <v>33</v>
      </c>
      <c r="S23" s="4">
        <v>1020</v>
      </c>
      <c r="T23" s="2" t="s">
        <v>34</v>
      </c>
      <c r="U23" s="2" t="s">
        <v>35</v>
      </c>
      <c r="V23" s="2" t="s">
        <v>104</v>
      </c>
      <c r="W23" s="3">
        <v>0</v>
      </c>
      <c r="X23" s="3">
        <v>0</v>
      </c>
      <c r="Y23" s="2"/>
      <c r="Z23" s="3">
        <v>0</v>
      </c>
      <c r="AA23" s="2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IMC.Stores</dc:creator>
  <cp:lastModifiedBy>store</cp:lastModifiedBy>
  <dcterms:created xsi:type="dcterms:W3CDTF">2025-11-26T13:01:39Z</dcterms:created>
  <dcterms:modified xsi:type="dcterms:W3CDTF">2025-11-27T07:58:53Z</dcterms:modified>
</cp:coreProperties>
</file>