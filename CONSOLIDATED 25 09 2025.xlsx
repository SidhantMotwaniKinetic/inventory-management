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730" windowHeight="8925"/>
  </bookViews>
  <sheets>
    <sheet name="final sheet" sheetId="2" r:id="rId1"/>
    <sheet name="Sheet1" sheetId="1" r:id="rId2"/>
    <sheet name="Sheet2" sheetId="3" r:id="rId3"/>
  </sheets>
  <definedNames>
    <definedName name="_xlnm._FilterDatabase" localSheetId="0" hidden="1">'final sheet'!$A$4:$O$118</definedName>
  </definedNames>
  <calcPr calcId="145621"/>
</workbook>
</file>

<file path=xl/calcChain.xml><?xml version="1.0" encoding="utf-8"?>
<calcChain xmlns="http://schemas.openxmlformats.org/spreadsheetml/2006/main">
  <c r="G127" i="2" l="1"/>
  <c r="G126" i="2"/>
  <c r="H119" i="2"/>
  <c r="G125" i="2"/>
  <c r="G124" i="2"/>
  <c r="G123" i="2"/>
  <c r="G119" i="2"/>
  <c r="F119" i="2"/>
  <c r="E119" i="2"/>
  <c r="H127" i="2" l="1"/>
  <c r="K95" i="2" l="1"/>
  <c r="K94" i="2"/>
  <c r="K71" i="2"/>
  <c r="K90" i="2"/>
  <c r="K98" i="2"/>
  <c r="K111" i="2"/>
  <c r="K92" i="2"/>
  <c r="K88" i="2"/>
  <c r="K84" i="2"/>
  <c r="K81" i="2"/>
  <c r="K61" i="2"/>
  <c r="K65" i="2"/>
  <c r="K110" i="2"/>
  <c r="K103" i="2"/>
  <c r="K63" i="2"/>
  <c r="K41" i="2"/>
  <c r="K38" i="2"/>
  <c r="K87" i="2"/>
  <c r="K56" i="2"/>
  <c r="K55" i="2"/>
  <c r="K74" i="2"/>
  <c r="K62" i="2"/>
  <c r="K82" i="2"/>
  <c r="K7" i="2"/>
  <c r="K72" i="2"/>
  <c r="K69" i="2"/>
  <c r="K73" i="2"/>
  <c r="K6" i="2"/>
  <c r="K85" i="2"/>
  <c r="K106" i="2"/>
  <c r="K100" i="2"/>
  <c r="K5" i="2"/>
  <c r="K83" i="2"/>
  <c r="K9" i="2"/>
  <c r="K11" i="2"/>
  <c r="K70" i="2"/>
  <c r="K12" i="2"/>
  <c r="K66" i="2"/>
  <c r="K8" i="2"/>
  <c r="K114" i="2"/>
  <c r="K96" i="2"/>
  <c r="K93" i="2"/>
  <c r="K112" i="2"/>
  <c r="K59" i="2"/>
  <c r="K89" i="2"/>
  <c r="K78" i="2"/>
  <c r="K28" i="2"/>
  <c r="K24" i="2"/>
  <c r="K75" i="2"/>
  <c r="K86" i="2"/>
  <c r="K20" i="2"/>
  <c r="K58" i="2"/>
  <c r="K102" i="2"/>
  <c r="K104" i="2"/>
  <c r="K54" i="2"/>
  <c r="K34" i="2"/>
  <c r="K36" i="2"/>
  <c r="K22" i="2"/>
  <c r="K115" i="2"/>
  <c r="K116" i="2"/>
  <c r="K113" i="2"/>
  <c r="K47" i="2"/>
  <c r="K16" i="2"/>
  <c r="K79" i="2"/>
  <c r="K42" i="2"/>
  <c r="K44" i="2"/>
  <c r="K97" i="2"/>
  <c r="K27" i="2"/>
  <c r="K52" i="2"/>
  <c r="K35" i="2"/>
  <c r="K25" i="2"/>
  <c r="K31" i="2"/>
  <c r="K10" i="2"/>
  <c r="K64" i="2"/>
  <c r="K67" i="2"/>
  <c r="K26" i="2"/>
  <c r="K108" i="2"/>
  <c r="K49" i="2"/>
  <c r="K57" i="2"/>
  <c r="K68" i="2"/>
  <c r="K76" i="2"/>
  <c r="K77" i="2"/>
  <c r="K48" i="2"/>
  <c r="K60" i="2"/>
  <c r="K23" i="2"/>
  <c r="K17" i="2"/>
  <c r="K91" i="2" l="1"/>
  <c r="K15" i="2"/>
  <c r="K21" i="2"/>
  <c r="K101" i="2"/>
  <c r="K51" i="2"/>
  <c r="K33" i="2"/>
  <c r="K32" i="2"/>
  <c r="K14" i="2"/>
  <c r="K19" i="2"/>
  <c r="K18" i="2" l="1"/>
  <c r="K45" i="2"/>
  <c r="K53" i="2"/>
  <c r="K46" i="2"/>
  <c r="K13" i="2"/>
  <c r="K29" i="2"/>
  <c r="K50" i="2"/>
  <c r="K80" i="2"/>
  <c r="K43" i="2"/>
  <c r="K105" i="2"/>
  <c r="K99" i="2"/>
  <c r="K39" i="2"/>
  <c r="K37" i="2"/>
  <c r="K40" i="2"/>
  <c r="K30" i="2"/>
  <c r="K107" i="2"/>
  <c r="K109" i="2" l="1"/>
  <c r="N6" i="2" l="1"/>
  <c r="Q6" i="2" s="1"/>
  <c r="N7" i="2"/>
  <c r="Q7" i="2" s="1"/>
  <c r="N8" i="2"/>
  <c r="Q8" i="2" s="1"/>
  <c r="N9" i="2"/>
  <c r="Q9" i="2" s="1"/>
  <c r="N10" i="2"/>
  <c r="Q10" i="2" s="1"/>
  <c r="N11" i="2"/>
  <c r="Q11" i="2" s="1"/>
  <c r="N12" i="2"/>
  <c r="Q12" i="2" s="1"/>
  <c r="N13" i="2"/>
  <c r="Q13" i="2" s="1"/>
  <c r="N14" i="2"/>
  <c r="Q14" i="2" s="1"/>
  <c r="N15" i="2"/>
  <c r="Q15" i="2" s="1"/>
  <c r="N16" i="2"/>
  <c r="Q16" i="2" s="1"/>
  <c r="N17" i="2"/>
  <c r="Q17" i="2" s="1"/>
  <c r="N18" i="2"/>
  <c r="Q18" i="2" s="1"/>
  <c r="N19" i="2"/>
  <c r="Q19" i="2" s="1"/>
  <c r="N20" i="2"/>
  <c r="Q20" i="2" s="1"/>
  <c r="N21" i="2"/>
  <c r="Q21" i="2" s="1"/>
  <c r="N22" i="2"/>
  <c r="Q22" i="2" s="1"/>
  <c r="N23" i="2"/>
  <c r="Q23" i="2" s="1"/>
  <c r="N24" i="2"/>
  <c r="Q24" i="2" s="1"/>
  <c r="N25" i="2"/>
  <c r="Q25" i="2" s="1"/>
  <c r="N26" i="2"/>
  <c r="Q26" i="2" s="1"/>
  <c r="N27" i="2"/>
  <c r="Q27" i="2" s="1"/>
  <c r="N28" i="2"/>
  <c r="Q28" i="2" s="1"/>
  <c r="N29" i="2"/>
  <c r="Q29" i="2" s="1"/>
  <c r="N30" i="2"/>
  <c r="Q30" i="2" s="1"/>
  <c r="N31" i="2"/>
  <c r="Q31" i="2" s="1"/>
  <c r="N32" i="2"/>
  <c r="Q32" i="2" s="1"/>
  <c r="N33" i="2"/>
  <c r="Q33" i="2" s="1"/>
  <c r="N34" i="2"/>
  <c r="Q34" i="2" s="1"/>
  <c r="N35" i="2"/>
  <c r="Q35" i="2" s="1"/>
  <c r="N36" i="2"/>
  <c r="Q36" i="2" s="1"/>
  <c r="N37" i="2"/>
  <c r="Q37" i="2" s="1"/>
  <c r="N38" i="2"/>
  <c r="Q38" i="2" s="1"/>
  <c r="N39" i="2"/>
  <c r="Q39" i="2" s="1"/>
  <c r="N40" i="2"/>
  <c r="Q40" i="2" s="1"/>
  <c r="N41" i="2"/>
  <c r="Q41" i="2" s="1"/>
  <c r="N42" i="2"/>
  <c r="Q42" i="2" s="1"/>
  <c r="N43" i="2"/>
  <c r="Q43" i="2" s="1"/>
  <c r="N44" i="2"/>
  <c r="Q44" i="2" s="1"/>
  <c r="N45" i="2"/>
  <c r="Q45" i="2" s="1"/>
  <c r="N46" i="2"/>
  <c r="Q46" i="2" s="1"/>
  <c r="N47" i="2"/>
  <c r="Q47" i="2" s="1"/>
  <c r="N48" i="2"/>
  <c r="Q48" i="2" s="1"/>
  <c r="N49" i="2"/>
  <c r="Q49" i="2" s="1"/>
  <c r="N50" i="2"/>
  <c r="Q50" i="2" s="1"/>
  <c r="N51" i="2"/>
  <c r="Q51" i="2" s="1"/>
  <c r="N52" i="2"/>
  <c r="Q52" i="2" s="1"/>
  <c r="N53" i="2"/>
  <c r="Q53" i="2" s="1"/>
  <c r="N54" i="2"/>
  <c r="Q54" i="2" s="1"/>
  <c r="N55" i="2"/>
  <c r="Q55" i="2" s="1"/>
  <c r="N56" i="2"/>
  <c r="Q56" i="2" s="1"/>
  <c r="N57" i="2"/>
  <c r="Q57" i="2" s="1"/>
  <c r="N58" i="2"/>
  <c r="Q58" i="2" s="1"/>
  <c r="N59" i="2"/>
  <c r="Q59" i="2" s="1"/>
  <c r="N60" i="2"/>
  <c r="Q60" i="2" s="1"/>
  <c r="N61" i="2"/>
  <c r="Q61" i="2" s="1"/>
  <c r="N62" i="2"/>
  <c r="Q62" i="2" s="1"/>
  <c r="N63" i="2"/>
  <c r="Q63" i="2" s="1"/>
  <c r="N64" i="2"/>
  <c r="Q64" i="2" s="1"/>
  <c r="N65" i="2"/>
  <c r="Q65" i="2" s="1"/>
  <c r="N66" i="2"/>
  <c r="Q66" i="2" s="1"/>
  <c r="N67" i="2"/>
  <c r="Q67" i="2" s="1"/>
  <c r="N68" i="2"/>
  <c r="Q68" i="2" s="1"/>
  <c r="N69" i="2"/>
  <c r="Q69" i="2" s="1"/>
  <c r="N70" i="2"/>
  <c r="Q70" i="2" s="1"/>
  <c r="N71" i="2"/>
  <c r="Q71" i="2" s="1"/>
  <c r="N72" i="2"/>
  <c r="Q72" i="2" s="1"/>
  <c r="N73" i="2"/>
  <c r="Q73" i="2" s="1"/>
  <c r="N74" i="2"/>
  <c r="Q74" i="2" s="1"/>
  <c r="N75" i="2"/>
  <c r="Q75" i="2" s="1"/>
  <c r="N76" i="2"/>
  <c r="Q76" i="2" s="1"/>
  <c r="N77" i="2"/>
  <c r="Q77" i="2" s="1"/>
  <c r="N78" i="2"/>
  <c r="Q78" i="2" s="1"/>
  <c r="N79" i="2"/>
  <c r="Q79" i="2" s="1"/>
  <c r="N80" i="2"/>
  <c r="Q80" i="2" s="1"/>
  <c r="N81" i="2"/>
  <c r="Q81" i="2" s="1"/>
  <c r="N82" i="2"/>
  <c r="Q82" i="2" s="1"/>
  <c r="N83" i="2"/>
  <c r="Q83" i="2" s="1"/>
  <c r="N84" i="2"/>
  <c r="Q84" i="2" s="1"/>
  <c r="N85" i="2"/>
  <c r="Q85" i="2" s="1"/>
  <c r="N86" i="2"/>
  <c r="Q86" i="2" s="1"/>
  <c r="N87" i="2"/>
  <c r="Q87" i="2" s="1"/>
  <c r="N88" i="2"/>
  <c r="Q88" i="2" s="1"/>
  <c r="N89" i="2"/>
  <c r="Q89" i="2" s="1"/>
  <c r="N90" i="2"/>
  <c r="Q90" i="2" s="1"/>
  <c r="N91" i="2"/>
  <c r="Q91" i="2" s="1"/>
  <c r="N92" i="2"/>
  <c r="Q92" i="2" s="1"/>
  <c r="N93" i="2"/>
  <c r="Q93" i="2" s="1"/>
  <c r="N94" i="2"/>
  <c r="Q94" i="2" s="1"/>
  <c r="N95" i="2"/>
  <c r="Q95" i="2" s="1"/>
  <c r="N96" i="2"/>
  <c r="Q96" i="2" s="1"/>
  <c r="N97" i="2"/>
  <c r="Q97" i="2" s="1"/>
  <c r="N98" i="2"/>
  <c r="Q98" i="2" s="1"/>
  <c r="N99" i="2"/>
  <c r="Q99" i="2" s="1"/>
  <c r="N100" i="2"/>
  <c r="Q100" i="2" s="1"/>
  <c r="N101" i="2"/>
  <c r="Q101" i="2" s="1"/>
  <c r="N102" i="2"/>
  <c r="Q102" i="2" s="1"/>
  <c r="N103" i="2"/>
  <c r="Q103" i="2" s="1"/>
  <c r="N104" i="2"/>
  <c r="Q104" i="2" s="1"/>
  <c r="N105" i="2"/>
  <c r="Q105" i="2" s="1"/>
  <c r="N106" i="2"/>
  <c r="Q106" i="2" s="1"/>
  <c r="N107" i="2"/>
  <c r="Q107" i="2" s="1"/>
  <c r="N108" i="2"/>
  <c r="Q108" i="2" s="1"/>
  <c r="N109" i="2"/>
  <c r="Q109" i="2" s="1"/>
  <c r="N110" i="2"/>
  <c r="Q110" i="2" s="1"/>
  <c r="N111" i="2"/>
  <c r="Q111" i="2" s="1"/>
  <c r="N112" i="2"/>
  <c r="Q112" i="2" s="1"/>
  <c r="N113" i="2"/>
  <c r="Q113" i="2" s="1"/>
  <c r="N114" i="2"/>
  <c r="Q114" i="2" s="1"/>
  <c r="N115" i="2"/>
  <c r="Q115" i="2" s="1"/>
  <c r="N116" i="2"/>
  <c r="Q116" i="2" s="1"/>
  <c r="N5" i="2"/>
  <c r="Q5" i="2" s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5" i="2"/>
</calcChain>
</file>

<file path=xl/sharedStrings.xml><?xml version="1.0" encoding="utf-8"?>
<sst xmlns="http://schemas.openxmlformats.org/spreadsheetml/2006/main" count="4724" uniqueCount="2538">
  <si>
    <t xml:space="preserve">Transfer Doc.        </t>
  </si>
  <si>
    <t xml:space="preserve">Transfer Date </t>
  </si>
  <si>
    <t xml:space="preserve">Post or Not? </t>
  </si>
  <si>
    <t>Confirmation </t>
  </si>
  <si>
    <t>Dept       </t>
  </si>
  <si>
    <t xml:space="preserve">Employee Name                            </t>
  </si>
  <si>
    <t>Applicant  </t>
  </si>
  <si>
    <t xml:space="preserve">Department Name                                                                  </t>
  </si>
  <si>
    <t>Remark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</si>
  <si>
    <t xml:space="preserve">Line No. </t>
  </si>
  <si>
    <t xml:space="preserve">Item No.                                 </t>
  </si>
  <si>
    <t xml:space="preserve">Item Name                                                                                                                </t>
  </si>
  <si>
    <t xml:space="preserve">Item Specification                                                                                                       </t>
  </si>
  <si>
    <t xml:space="preserve">Transfer-out WH </t>
  </si>
  <si>
    <t xml:space="preserve">Store Name                                                                       </t>
  </si>
  <si>
    <t xml:space="preserve">Transfer-out Lot         </t>
  </si>
  <si>
    <t xml:space="preserve">Transfer-Out Qty (Estimated) </t>
  </si>
  <si>
    <t xml:space="preserve">Inventory Unit </t>
  </si>
  <si>
    <t xml:space="preserve">Converted Qty   </t>
  </si>
  <si>
    <t xml:space="preserve">Transfer-in WH </t>
  </si>
  <si>
    <t xml:space="preserve">Transfer-in Lot          </t>
  </si>
  <si>
    <t xml:space="preserve">Custom Field - Value </t>
  </si>
  <si>
    <t xml:space="preserve">Custom Field - Text                      </t>
  </si>
  <si>
    <t xml:space="preserve">Custom Fields - Integer </t>
  </si>
  <si>
    <t xml:space="preserve">Custom Field - Textedit                                                                                                                                                                                                                                         </t>
  </si>
  <si>
    <t>I1202-25090028</t>
  </si>
  <si>
    <t>25/09/24</t>
  </si>
  <si>
    <t>Y</t>
  </si>
  <si>
    <t>80007</t>
  </si>
  <si>
    <t>Sarvesh Joshi</t>
  </si>
  <si>
    <t>M000271</t>
  </si>
  <si>
    <t>Stores</t>
  </si>
  <si>
    <t>02S1010520-00</t>
  </si>
  <si>
    <t>CHIP CAP</t>
  </si>
  <si>
    <t>CAP-CER-SMD 100P-5%-50V-0603-COG</t>
  </si>
  <si>
    <t>3000I</t>
  </si>
  <si>
    <t>Material Warehouse</t>
  </si>
  <si>
    <t>20250819</t>
  </si>
  <si>
    <t>PCS</t>
  </si>
  <si>
    <t>6001I</t>
  </si>
  <si>
    <t>Kinetic W/H</t>
  </si>
  <si>
    <t>07S4320001-12</t>
  </si>
  <si>
    <t>CHIP V-Reg IC</t>
  </si>
  <si>
    <t>IC-Vol-Reg-SMD LA432OCRPA-125℃-SOT23-3L</t>
  </si>
  <si>
    <t>20250919</t>
  </si>
  <si>
    <t>02S1021501-37</t>
  </si>
  <si>
    <t>CHIP Y1-CAP(TMY1102M-Y)</t>
  </si>
  <si>
    <t>CAP-CER-Y1-SMD 1N-20%-400V-Y5U-7.8*5.4*2.45</t>
  </si>
  <si>
    <t>20250603</t>
  </si>
  <si>
    <t>13M0700040-00</t>
  </si>
  <si>
    <t>Main PCB(EDC-075SXXXSVA REV:A)</t>
  </si>
  <si>
    <t>279*218*1.6 FR-4 1/2 12PP Mirror copy board 83.15%-4</t>
  </si>
  <si>
    <t>01S0000K21-00</t>
  </si>
  <si>
    <t>CHIP RES</t>
  </si>
  <si>
    <t>RES-MO-SMD 0R-5%-0402-63mW-55-155℃-TC400</t>
  </si>
  <si>
    <t>06S6955001-05</t>
  </si>
  <si>
    <t>CHIP N-MOS-(STD6N95K5)</t>
  </si>
  <si>
    <t>SEM-N-MOS-SMD 950V-9A-1R25-150℃-TO-252(DPAK)</t>
  </si>
  <si>
    <t>20250901</t>
  </si>
  <si>
    <t>04S6010001-16</t>
  </si>
  <si>
    <t>CHIP Gas Discharge Tube-(S30-A600XS)</t>
  </si>
  <si>
    <t>RES-GDT-SMD 1KA-600V-25%-4.5*3.2*2.7</t>
  </si>
  <si>
    <t>02S1021990-00</t>
  </si>
  <si>
    <t>CAP-CER-SMD 1N-10%-630V-1206-X7R</t>
  </si>
  <si>
    <t>01S1003311-13</t>
  </si>
  <si>
    <t>CHIP Thermistor RES</t>
  </si>
  <si>
    <t>RES-NTC-SMD 100K-1%-84V-4050K-2.5A-0603</t>
  </si>
  <si>
    <t>02S4710521-00</t>
  </si>
  <si>
    <t>CAP-CER-SMD 470P-5%-50V-0603-COG</t>
  </si>
  <si>
    <t>01S1002310-00</t>
  </si>
  <si>
    <t>RES-MO-SMD 10K-1%-0603-100mW-55-155℃-TC100</t>
  </si>
  <si>
    <t>02S1030530-00</t>
  </si>
  <si>
    <t>CAP-CER-SMD 10N-10%-50V-0603-X7R</t>
  </si>
  <si>
    <t>06S2222001-33</t>
  </si>
  <si>
    <t>CHIP Transistor-(MMBT2222A-TP)</t>
  </si>
  <si>
    <t>SEM-NPN-SMD 40V-0.6A-150℃-SOT-23</t>
  </si>
  <si>
    <t>20250916</t>
  </si>
  <si>
    <t>05S0000001-00</t>
  </si>
  <si>
    <t>CHIP Pad-(SMA-SD)</t>
  </si>
  <si>
    <t>SEM-Pad-SMD T=3.4 4.6*2.6*3.4</t>
  </si>
  <si>
    <t>02S2240560-00</t>
  </si>
  <si>
    <t>CAP-CER-SMD 220N-10%-50V-0805-X7R</t>
  </si>
  <si>
    <t>01S1002110-00</t>
  </si>
  <si>
    <t>RES-MO-SMD 10K-1%-1206-250mW-55-155℃-TC100</t>
  </si>
  <si>
    <t>01S8201310-00</t>
  </si>
  <si>
    <t>RES-MO-SMD 8K2-1%-0603-100mW-55-155℃-TC100</t>
  </si>
  <si>
    <t>01S1001310-00</t>
  </si>
  <si>
    <t>RES-MO-SMD 1K-1%-0603-100mW-55-155℃-TC100</t>
  </si>
  <si>
    <t>01S1003310-00</t>
  </si>
  <si>
    <t>RES-MO-SMD 100K-1%-0603-100mW-55-155℃-TC100</t>
  </si>
  <si>
    <t>02S1012180-00</t>
  </si>
  <si>
    <t>CAP-CER-SMD 100P-5%-1000V-1206-COG</t>
  </si>
  <si>
    <t>05S1000002-06</t>
  </si>
  <si>
    <t>CHIP U-Fast Diode-(ES1J-LTP)</t>
  </si>
  <si>
    <t>SEM-HSD-SMD 600V-1A-35ns-175℃-SMA(DO-214AC)</t>
  </si>
  <si>
    <t>01S1000110-00</t>
  </si>
  <si>
    <t>RES-MO-SMD 100R-1%-1206-250mW-55-155℃-TC100</t>
  </si>
  <si>
    <t>20250811</t>
  </si>
  <si>
    <t>04S6010002-16</t>
  </si>
  <si>
    <t>CHIP Gas Discharge Tube-(S32-A600)</t>
  </si>
  <si>
    <t>RES-GDT-SMD 600V-20%-4.5*3.2*3.2</t>
  </si>
  <si>
    <t>05S3161000-18</t>
  </si>
  <si>
    <t>CHIP Zener Diode-(BZT52C16S-TP/LM3Z16VT1G)</t>
  </si>
  <si>
    <t>SEM-ZD-SMD 16V-5%-5mA-0.2W-SOD-323</t>
  </si>
  <si>
    <t>05S2000001-06</t>
  </si>
  <si>
    <t>CHIP Fast Diode-(US2Q)</t>
  </si>
  <si>
    <t>SEM-HSD-SMD 1200V-2A-100ns-150℃-SMB(DO-214AA)</t>
  </si>
  <si>
    <t>I1202-25090029</t>
  </si>
  <si>
    <t>01S9102310-00</t>
  </si>
  <si>
    <t>RES-MO-SMD 91K-1%-0603-100mW-55-155℃-TC100</t>
  </si>
  <si>
    <t>01S2401310-00</t>
  </si>
  <si>
    <t>RES-MO-SMD 2K4-1%-0603-100mW-55-155℃-TC100</t>
  </si>
  <si>
    <t>01S1503210-00</t>
  </si>
  <si>
    <t>RES-MO-SMD 150K-1%-0805-125mW-55-155℃-TC100</t>
  </si>
  <si>
    <t>01S5100310-00</t>
  </si>
  <si>
    <t>RES-MO-SMD 510R-1%-0603-100mW-55-155℃-TC100</t>
  </si>
  <si>
    <t>06S2907001-33</t>
  </si>
  <si>
    <t>CHIP Transistor-(MMBT2907A-TP)</t>
  </si>
  <si>
    <t>SEM-PNP-SMD 60V-0.6A-150℃-SOT-23</t>
  </si>
  <si>
    <t>01S2007121-02</t>
  </si>
  <si>
    <t>RES-Anti Surge-SMD 20R-5%-1206-250mW-55-155℃-TC200</t>
  </si>
  <si>
    <t>01S1204111-00</t>
  </si>
  <si>
    <t>RES-MO-SMD 1M2-1%-1206-250mW-55-155℃-TC250</t>
  </si>
  <si>
    <t>01S9103110-00</t>
  </si>
  <si>
    <t>RES-MO-SMD 910K-1%-1206-250mW-55-155℃-TC100</t>
  </si>
  <si>
    <t>01S5108121-02</t>
  </si>
  <si>
    <t>RES-Anti Surge-SMD 5R1-5%-1206-250mW-55-155℃-TC400</t>
  </si>
  <si>
    <t>01S4301310-00</t>
  </si>
  <si>
    <t>RES-MO-SMD 4K3-1%-0603-100mW-55-155℃-TC100</t>
  </si>
  <si>
    <t>01S1802310-00</t>
  </si>
  <si>
    <t>RES-MO-SMD 18K-1%-0603-100mW-55-155℃-TC100</t>
  </si>
  <si>
    <t>01S1002340-00</t>
  </si>
  <si>
    <t>RES-MT-SMD 10K-0.1%-0603-100mW-55-155℃-TC50</t>
  </si>
  <si>
    <t>02S1041290-00</t>
  </si>
  <si>
    <t>CAP-CER-SMD 100N-10%-250V-1206-X7R</t>
  </si>
  <si>
    <t>05S1414801-17</t>
  </si>
  <si>
    <t>CHIP Switching Diode-(1N4148WS)</t>
  </si>
  <si>
    <t>SEM-SWD-SMD 75V-150mA-150℃-SOD-323</t>
  </si>
  <si>
    <t>01S7502310-00</t>
  </si>
  <si>
    <t>RES-MO-SMD 75K-1%-0603-100mW-55-155℃-TC100</t>
  </si>
  <si>
    <t>01S1603310-00</t>
  </si>
  <si>
    <t>RES-MO-SMD 160K-1%-0603-100mW-55-155℃-TC100</t>
  </si>
  <si>
    <t>02S1040860-00</t>
  </si>
  <si>
    <t>CAP-CER-SMD 100N-10%-100V-0805-X7R</t>
  </si>
  <si>
    <t>01S3602110-00</t>
  </si>
  <si>
    <t>RES-MO-SMD 36K-1%-1206-250mW-55-155℃-TC100</t>
  </si>
  <si>
    <t>01S6802110-00</t>
  </si>
  <si>
    <t>RES-MO-SMD 68K-1%-1206-250mW-55-155℃-TC100</t>
  </si>
  <si>
    <t>01S2001310-00</t>
  </si>
  <si>
    <t>RES-MO-SMD 2K-1%-0603-100mW-55-155℃-TC100</t>
  </si>
  <si>
    <t>I1202-25090030</t>
  </si>
  <si>
    <t>01S2004310-00</t>
  </si>
  <si>
    <t>RES-MO-SMD 2M-1%-0603-100mW-55-155℃-TC100</t>
  </si>
  <si>
    <t>01S3601310-00</t>
  </si>
  <si>
    <t>RES-MO-SMD 3K6-1%-0603-100mW-55-155℃-TC100</t>
  </si>
  <si>
    <t>01S1502310-00</t>
  </si>
  <si>
    <t>RES-MO-SMD 15K-1%-0603-100mW-55-155℃-TC100</t>
  </si>
  <si>
    <t>02S1050801-00</t>
  </si>
  <si>
    <t>CAP-CER-SMD 1U-10%-100V-1206-X7R</t>
  </si>
  <si>
    <t>06S2700201-24</t>
  </si>
  <si>
    <t>CHIP N-MOS-(L2N7002KLT1G)</t>
  </si>
  <si>
    <t>SEM-N-MOS-SMD 60V-0.32A-0R0023-150℃-SOT-23</t>
  </si>
  <si>
    <t>06S5616000-10</t>
  </si>
  <si>
    <t>CHIP Transistor-(BCX56-16TF)</t>
  </si>
  <si>
    <t>SEM-NPN-SMD 80V-1A-150℃-SOT-89</t>
  </si>
  <si>
    <t>01S2403110-00</t>
  </si>
  <si>
    <t>RES-MO-SMD 240K-1%-1206-250mW-55-155℃-TC100</t>
  </si>
  <si>
    <t>01S3003110-00</t>
  </si>
  <si>
    <t>RES-MO-SMD 300K-1%-1206-250mW-55-155℃-TC100</t>
  </si>
  <si>
    <t>01S3003310-00</t>
  </si>
  <si>
    <t>RES-MO-SMD 300K-1%-0603-100mW-55-155℃-TC100</t>
  </si>
  <si>
    <t>01S2702310-00</t>
  </si>
  <si>
    <t>RES-MO-SMD 27K-1%-0603-100mW-55-155℃-TC100</t>
  </si>
  <si>
    <t>01S3002310-00</t>
  </si>
  <si>
    <t>RES-MO-SMD 30K-1%-0603-100mW-55-155℃-TC100</t>
  </si>
  <si>
    <t>01S4302310-00</t>
  </si>
  <si>
    <t>RES-MO-SMD 43K-1%-0603-100mW-55-155℃-TC100</t>
  </si>
  <si>
    <t>01S1007121-02</t>
  </si>
  <si>
    <t>RES-Anti Surge-SMD 10R-5%-1206-250mW-55-155℃-TC400</t>
  </si>
  <si>
    <t>04S6010001-19</t>
  </si>
  <si>
    <t>CHIP Gas Discharge Tube-(ACPA4532-600LF)</t>
  </si>
  <si>
    <t>RES-GDT-SMD 600V-30%-4.5*3.2*2.7</t>
  </si>
  <si>
    <t>20240911</t>
  </si>
  <si>
    <t>01S2201310-00</t>
  </si>
  <si>
    <t>RES-MO-SMD 2K2-1%-0603-100mW-55-155℃-TC100</t>
  </si>
  <si>
    <t>01S2202310-00</t>
  </si>
  <si>
    <t>RES-MO-SMD 22K-1%-0603-100mW-55-155℃-TC100</t>
  </si>
  <si>
    <t>01S1004310-00</t>
  </si>
  <si>
    <t>RES-MO-SMD 1M-1%-0603-100mW-55-155℃-TC100</t>
  </si>
  <si>
    <t>01S3004310-00</t>
  </si>
  <si>
    <t>RES-MO-SMD 3M-1%-0603-100mW-55-155℃-TC100</t>
  </si>
  <si>
    <t>01S3301310-00</t>
  </si>
  <si>
    <t>RES-MO-SMD 3K3-1%-0603-100mW-55-155℃-TC100</t>
  </si>
  <si>
    <t>05S3121000-18</t>
  </si>
  <si>
    <t>CHIP Zener Diode-(BZT52C12S-TP/LM3Z12VT1G)</t>
  </si>
  <si>
    <t>SEM-ZD-SMD 12V-5%-5mA-0.2W-SOD-323</t>
  </si>
  <si>
    <t>01S2003310-00</t>
  </si>
  <si>
    <t>RES-MO-SMD 200K-1%-0603-100mW-55-155℃-TC100</t>
  </si>
  <si>
    <t>01S1303110-00</t>
  </si>
  <si>
    <t>RES-MO-SMD 130K-1%-1206-250mW-55-155℃-TC100</t>
  </si>
  <si>
    <t>05S5235100-18</t>
  </si>
  <si>
    <t>CHIP Zener Diode-(MMSZ5235B-TP/LMSZ5235BT1G)</t>
  </si>
  <si>
    <t>SEM-ZD-SMD 6V8-5%-20mA-0.5W-SOD-123</t>
  </si>
  <si>
    <t>01S1101310-00</t>
  </si>
  <si>
    <t>RES-MO-SMD 1K1-1%-0603-100mW-55-155℃-TC100</t>
  </si>
  <si>
    <t>02S2210510-00</t>
  </si>
  <si>
    <t>CAP-CER-SMD 220P-5%-50V-0603-COG</t>
  </si>
  <si>
    <t>01S1501310-00</t>
  </si>
  <si>
    <t>RES-MO-SMD 1K5-1%-0603-100mW-55-155℃-TC100</t>
  </si>
  <si>
    <t>01S5101310-00</t>
  </si>
  <si>
    <t>RES-MO-SMD 5K1-1%-0603-100mW-55-155℃-TC100</t>
  </si>
  <si>
    <t>01S2404110-00</t>
  </si>
  <si>
    <t>RES-MO-SMD 2M4-1%-1206-250mW-55-155℃-TC100</t>
  </si>
  <si>
    <t>01S1103110-00</t>
  </si>
  <si>
    <t>RES-MO-SMD 110K-1%-1206-250mW-55-155℃-TC100</t>
  </si>
  <si>
    <t>01S4707121-02</t>
  </si>
  <si>
    <t>RES-Anti Surge-SMD 47R-5%-1206-250mW-55-155℃-TC200</t>
  </si>
  <si>
    <t>05SM700000-06</t>
  </si>
  <si>
    <t>CHIP Rectifier Diode-(M7)</t>
  </si>
  <si>
    <t>SEM-GRD-SMD 1000V-1A-150℃-SAME(DO-214AC)</t>
  </si>
  <si>
    <t>I1202-25090031</t>
  </si>
  <si>
    <t>02S1032180-00</t>
  </si>
  <si>
    <t>CAP-CER-SMD 10N-10%-1000V-1206-X7R</t>
  </si>
  <si>
    <t>02S4750590-00</t>
  </si>
  <si>
    <t>CAP-CER-SMD 4U7-10%-50V-1206-X7R</t>
  </si>
  <si>
    <t>01S1502110-00</t>
  </si>
  <si>
    <t>RES-MO-SMD 15K-1%-1206-250mW-55-155℃-TC100</t>
  </si>
  <si>
    <t>01S1503310-00</t>
  </si>
  <si>
    <t>RES-MO-SMD 150K-1%-0603-100mW-55-155℃-TC100</t>
  </si>
  <si>
    <t>01S2002310-00</t>
  </si>
  <si>
    <t>RES-MO-SMD 20K-1%-0603-100mW-55-155℃-TC100</t>
  </si>
  <si>
    <t>02S4712190-00</t>
  </si>
  <si>
    <t>CAP-CER-SMD 470P-10%-1000V-1206-X7R</t>
  </si>
  <si>
    <t>20250426</t>
  </si>
  <si>
    <t>07S3018601-02</t>
  </si>
  <si>
    <t>CHIP PFC IC</t>
  </si>
  <si>
    <t>IC-Flyback(PFC-Contr)-SMD NCL30186BDR2G-125℃-SOIC-10</t>
  </si>
  <si>
    <t>05S1000004-06</t>
  </si>
  <si>
    <t>CHIP U-Fast Diode-(US1M-TP)</t>
  </si>
  <si>
    <t>SEM-HSD-SMD 1A-1000V-75ns-150℃-SMA(DO-214AC)</t>
  </si>
  <si>
    <t>20250430</t>
  </si>
  <si>
    <t>02S1050230-00</t>
  </si>
  <si>
    <t>CAP-CER-SMD 1U-10%-16V-0603-X7R</t>
  </si>
  <si>
    <t>01S7500310-00</t>
  </si>
  <si>
    <t>RES-MO-SMD 750R-1%-0603-100mW-55-155℃-TC100</t>
  </si>
  <si>
    <t>01S1503110-00</t>
  </si>
  <si>
    <t>RES-MO-SMD 150K-1%-1206-250mW-55-155℃-TC100</t>
  </si>
  <si>
    <t>02S3320530-00</t>
  </si>
  <si>
    <t>CAP-CER-SMD 3N3-10%-50V-0603-X7R</t>
  </si>
  <si>
    <t>02S2212191-00</t>
  </si>
  <si>
    <t>CAP-CER-SMD 220P-5%-1000V-1206-COG</t>
  </si>
  <si>
    <t>01S2402310-00</t>
  </si>
  <si>
    <t>RES-MO-SMD 24K-1%-0603-100mW-55-155℃-TC100</t>
  </si>
  <si>
    <t>02S4740230-00</t>
  </si>
  <si>
    <t>CAP-CER-SMD 470N-10%-16V-0603-X7R</t>
  </si>
  <si>
    <t>01S2203110-00</t>
  </si>
  <si>
    <t>RES-MO-SMD 220K-1%-1206-250mW-55-155℃-TC100</t>
  </si>
  <si>
    <t>04S6010501-21</t>
  </si>
  <si>
    <t>CHIP Gas Discharge Tube-(BF601M)</t>
  </si>
  <si>
    <t>RES-GDT-SMD 600V-20%-4.2*5*5</t>
  </si>
  <si>
    <t>01S3001310-00</t>
  </si>
  <si>
    <t>RES-MO-SMD 3K-1%-0603-100mW-55-155℃-TC100</t>
  </si>
  <si>
    <t>02S1040530-00</t>
  </si>
  <si>
    <t>CAP-CER-SMD 100N-10%-50V-0603-X7R</t>
  </si>
  <si>
    <t>05S5248100-18</t>
  </si>
  <si>
    <t>CHIP Zener Diode-(MMSZ5248B-TP/LMSZ5248BT1G)</t>
  </si>
  <si>
    <t>SEM-ZD-SMD 18V-5%-7mA-0.5W-SOD-123</t>
  </si>
  <si>
    <t>01S6801310-00</t>
  </si>
  <si>
    <t>RES-MO-SMD 6K8-1%-0603-100mW-55-155℃-TC100</t>
  </si>
  <si>
    <t>01S5607121-02</t>
  </si>
  <si>
    <t>RES-Anti Surge-SMD 56R-5%-1206-250mW-55-155℃-TC200</t>
  </si>
  <si>
    <t>02S4731990-00</t>
  </si>
  <si>
    <t>CAP-CER-SMD 47N-10%-630V-1206-X7R</t>
  </si>
  <si>
    <t>01S5107110-00</t>
  </si>
  <si>
    <t>RES-MO-SMD 51R-1%-1206-250mW-55-155℃-TC100</t>
  </si>
  <si>
    <t>06S6072001-11</t>
  </si>
  <si>
    <t>CHIP N-MOS-(AP60PN72REN)</t>
  </si>
  <si>
    <t>SEM-N-MOS-SMD 600V-0.053A-72R-150℃-SOT-23</t>
  </si>
  <si>
    <t>01S2403310-00</t>
  </si>
  <si>
    <t>RES-MO-SMD 240K-1%-0603-100mW-55-155℃-TC100</t>
  </si>
  <si>
    <t>02S2240330-00</t>
  </si>
  <si>
    <t>CAP-CER-SMD 220N-10%-25V-0603-X7R</t>
  </si>
  <si>
    <t>01S7503111-00</t>
  </si>
  <si>
    <t>RES-MO-SMD 750K-1%-1206-250mW-55-155℃-TC100</t>
  </si>
  <si>
    <t>01S5102310-00</t>
  </si>
  <si>
    <t>RES-MO-SMD 51K-1%-0603-100mW-55-155℃-TC100</t>
  </si>
  <si>
    <t>01S7501110-00</t>
  </si>
  <si>
    <t>RES-MO-SMD 7K5-1%-1206-250mW-55-155℃-TC100</t>
  </si>
  <si>
    <t>01S7501310-00</t>
  </si>
  <si>
    <t>RES-MO-SMD 7K5-1%-0603-100mW-55-155℃-TC100</t>
  </si>
  <si>
    <t>07S3210001-49</t>
  </si>
  <si>
    <t>CHIP Operational Amplifier IC</t>
  </si>
  <si>
    <t>IC-OP-AMP-SMD LM321A-TR-125℃-SOT23-5</t>
  </si>
  <si>
    <t>01S5103111-00</t>
  </si>
  <si>
    <t>RES-MO-SMD 510K-1%-1206-250mW-55-155℃-TC100</t>
  </si>
  <si>
    <t>05S5236100-18</t>
  </si>
  <si>
    <t>CHIP Zener Diode-(MMSZ5236B-TP/LMSZ5236BT1G)</t>
  </si>
  <si>
    <t>SEM-ZD-SMD 7V5-5%-20mA-0.5W-SOD-123</t>
  </si>
  <si>
    <t>05S5251100-18</t>
  </si>
  <si>
    <t>CHIP Zener Diode-(MMSZ5251B-TP/LMSZ5251BT1G)</t>
  </si>
  <si>
    <t>SEM-ZD-SMD 22V-5%-5.6mA-0.5W-SOD-123</t>
  </si>
  <si>
    <t>13M1500076-00</t>
  </si>
  <si>
    <t>Main PCB(EDC-150SXXXSV REV:A)</t>
  </si>
  <si>
    <t>279*170*1.6 FR-4 1/2 6PP Mirror copy board 83.73%-6</t>
  </si>
  <si>
    <t>20250701</t>
  </si>
  <si>
    <t>Column Labels</t>
  </si>
  <si>
    <t>(blank)</t>
  </si>
  <si>
    <t>Grand Total</t>
  </si>
  <si>
    <t>Row Labels</t>
  </si>
  <si>
    <t xml:space="preserve">Sum of Converted Qty   </t>
  </si>
  <si>
    <t>IMC/JW/25090028</t>
  </si>
  <si>
    <t>IMC/JW/25090029</t>
  </si>
  <si>
    <t>IMC/JW/25090030</t>
  </si>
  <si>
    <t>IMC/JW/25090031</t>
  </si>
  <si>
    <t>IN</t>
  </si>
  <si>
    <t>IMC/JW/25090028,IMC/JW/25090029,IMC/JW/25090030,IMC/JW/25090031</t>
  </si>
  <si>
    <t>PHY QTY</t>
  </si>
  <si>
    <t>E &amp; S</t>
  </si>
  <si>
    <t>KEM PART CODE</t>
  </si>
  <si>
    <t>SR.NO</t>
  </si>
  <si>
    <t>Item Cd</t>
  </si>
  <si>
    <t>01S1500110-00</t>
  </si>
  <si>
    <t>01S5603210-00</t>
  </si>
  <si>
    <t>086PCB001</t>
  </si>
  <si>
    <t>0906-061DM001A0Y</t>
  </si>
  <si>
    <t>0906E-706CS002A0Y</t>
  </si>
  <si>
    <t>7646C-706S009A0Y</t>
  </si>
  <si>
    <t>7646S-158TS001A0Y</t>
  </si>
  <si>
    <t>7646T-057S001A0Y</t>
  </si>
  <si>
    <t>7646T-057S003AOY</t>
  </si>
  <si>
    <t>7646T-061ZMM002A0Y</t>
  </si>
  <si>
    <t>7646T-061ZMM004A0Y</t>
  </si>
  <si>
    <t>7646T-061ZMM005A0Y</t>
  </si>
  <si>
    <t>7646T-061ZMM006A0Y</t>
  </si>
  <si>
    <t>7646T-091A0Y</t>
  </si>
  <si>
    <t>7646T-092S011A0Y</t>
  </si>
  <si>
    <t>7646T-092S012A0Y</t>
  </si>
  <si>
    <t>7646T-092S013A0Y</t>
  </si>
  <si>
    <t>7646T-092S014A0Y</t>
  </si>
  <si>
    <t>7646T-092S015A0Y</t>
  </si>
  <si>
    <t>7646T-153S001A0Y</t>
  </si>
  <si>
    <t>7646T-489ML003A0Y</t>
  </si>
  <si>
    <t>7646T-706CS002A0Y</t>
  </si>
  <si>
    <t>7646T-706CS004A0Y</t>
  </si>
  <si>
    <t>7646T-706CS005A0Y</t>
  </si>
  <si>
    <t>7646T-706CS006A0Y</t>
  </si>
  <si>
    <t>7646T-706CS007A0Y</t>
  </si>
  <si>
    <t>7646T-706CS008A0Y</t>
  </si>
  <si>
    <t>7646T-706CS009A0Y</t>
  </si>
  <si>
    <t>7664-061DM003AOY</t>
  </si>
  <si>
    <t>CLSOLPSTT4</t>
  </si>
  <si>
    <t>CS90MMX80MM1UPAVER</t>
  </si>
  <si>
    <t>CTSOLUTION</t>
  </si>
  <si>
    <t>EBARE0152AE</t>
  </si>
  <si>
    <t>ECAP00002AE</t>
  </si>
  <si>
    <t>ECAP00005AE</t>
  </si>
  <si>
    <t>ECAP00008AE</t>
  </si>
  <si>
    <t>ECAP00017AE</t>
  </si>
  <si>
    <t>ECAP00028AE</t>
  </si>
  <si>
    <t>ECAP00029AE</t>
  </si>
  <si>
    <t>ECAP00030AE</t>
  </si>
  <si>
    <t>ECAP00033AE</t>
  </si>
  <si>
    <t>ECAP00035AE</t>
  </si>
  <si>
    <t>ECAP00038AE</t>
  </si>
  <si>
    <t>ECAP00039AE</t>
  </si>
  <si>
    <t>ECAP00042AE</t>
  </si>
  <si>
    <t>ECAP00044AE</t>
  </si>
  <si>
    <t>ECAP00047AE</t>
  </si>
  <si>
    <t>ECAP00056AE</t>
  </si>
  <si>
    <t>ECAP00064AE</t>
  </si>
  <si>
    <t>ECAP00065AE</t>
  </si>
  <si>
    <t>ECAP00077AE</t>
  </si>
  <si>
    <t>ECAP00083AE</t>
  </si>
  <si>
    <t>ECAP00101AE</t>
  </si>
  <si>
    <t>ECAP00128AE</t>
  </si>
  <si>
    <t>ECAP00129AE</t>
  </si>
  <si>
    <t>ECAP00140AE</t>
  </si>
  <si>
    <t>ECAP00144AE</t>
  </si>
  <si>
    <t>ECAP00145AE</t>
  </si>
  <si>
    <t>ECAP00162IE</t>
  </si>
  <si>
    <t>ECAP00174AE</t>
  </si>
  <si>
    <t>ECAP00185AE</t>
  </si>
  <si>
    <t>ECAP00223AE</t>
  </si>
  <si>
    <t>ECAP00259AE</t>
  </si>
  <si>
    <t>ECAP00263AE</t>
  </si>
  <si>
    <t>ECAP00271IE</t>
  </si>
  <si>
    <t>ECAP00294IE</t>
  </si>
  <si>
    <t>ECAP00377AE</t>
  </si>
  <si>
    <t>ECAP00426AE</t>
  </si>
  <si>
    <t>ECAP00446AE</t>
  </si>
  <si>
    <t>ECAP00493AE</t>
  </si>
  <si>
    <t>ECAP00538AE</t>
  </si>
  <si>
    <t>ECAP00700AE</t>
  </si>
  <si>
    <t>ECAP00722AE</t>
  </si>
  <si>
    <t>ECAP00725AE</t>
  </si>
  <si>
    <t>ECON00190E</t>
  </si>
  <si>
    <t>ECON00206E</t>
  </si>
  <si>
    <t>ECRY00000AE</t>
  </si>
  <si>
    <t>ECRY00017AE</t>
  </si>
  <si>
    <t>EDIO00004IE</t>
  </si>
  <si>
    <t>EDIO00012AE</t>
  </si>
  <si>
    <t>EDIO00013AE</t>
  </si>
  <si>
    <t>EDIO00014AE</t>
  </si>
  <si>
    <t>EDIO00015AE</t>
  </si>
  <si>
    <t>EDIO00026AE</t>
  </si>
  <si>
    <t>EDIO00027AE</t>
  </si>
  <si>
    <t>EDIO00031AE</t>
  </si>
  <si>
    <t>EDIO00049AE</t>
  </si>
  <si>
    <t>EDIO00151IE</t>
  </si>
  <si>
    <t>EDIO00482AE</t>
  </si>
  <si>
    <t>EICS00024AE</t>
  </si>
  <si>
    <t>EICS00025AE</t>
  </si>
  <si>
    <t>EICS00055AE</t>
  </si>
  <si>
    <t>EICS00062AE</t>
  </si>
  <si>
    <t>EICS00310IE</t>
  </si>
  <si>
    <t>EICS00317AE</t>
  </si>
  <si>
    <t>EICS00319IE</t>
  </si>
  <si>
    <t>EICS00518AE</t>
  </si>
  <si>
    <t>EICS00522AE</t>
  </si>
  <si>
    <t>EIND00003IE</t>
  </si>
  <si>
    <t>EIND00009AE</t>
  </si>
  <si>
    <t>EIND00014AE</t>
  </si>
  <si>
    <t>EIND00015AE</t>
  </si>
  <si>
    <t>EIND00048AE</t>
  </si>
  <si>
    <t>EIND00056AE</t>
  </si>
  <si>
    <t>EIND00072AE</t>
  </si>
  <si>
    <t>EIND00109AE</t>
  </si>
  <si>
    <t>EIND00119IE</t>
  </si>
  <si>
    <t>EMOV00001AE</t>
  </si>
  <si>
    <t>EPMXDOTPCB</t>
  </si>
  <si>
    <t>ERES00000AE</t>
  </si>
  <si>
    <t>ERES00001AE</t>
  </si>
  <si>
    <t>ERES00007AE</t>
  </si>
  <si>
    <t>ERES00012AE</t>
  </si>
  <si>
    <t>ERES00013AE</t>
  </si>
  <si>
    <t>ERES00015AE</t>
  </si>
  <si>
    <t>ERES00020AE</t>
  </si>
  <si>
    <t>ERES00021AE</t>
  </si>
  <si>
    <t>ERES00030AE</t>
  </si>
  <si>
    <t>ERES00045AE</t>
  </si>
  <si>
    <t>ERES00049AE</t>
  </si>
  <si>
    <t>ERES00050AE</t>
  </si>
  <si>
    <t>ERES00053AE</t>
  </si>
  <si>
    <t>ERES00076AE</t>
  </si>
  <si>
    <t>ERES00106AE</t>
  </si>
  <si>
    <t>ERES00115AE</t>
  </si>
  <si>
    <t>ERES00137AE</t>
  </si>
  <si>
    <t>ERES00157AE</t>
  </si>
  <si>
    <t>ERES00160AE</t>
  </si>
  <si>
    <t>ERES00210AE</t>
  </si>
  <si>
    <t>ERES00221AE</t>
  </si>
  <si>
    <t>ERES00222AE</t>
  </si>
  <si>
    <t>ERES00244AE</t>
  </si>
  <si>
    <t>ERES00339AE</t>
  </si>
  <si>
    <t>ERES00367IE</t>
  </si>
  <si>
    <t>ERES00368IE</t>
  </si>
  <si>
    <t>ERES00590AE</t>
  </si>
  <si>
    <t>ERES00598AE</t>
  </si>
  <si>
    <t>ERES00603AE</t>
  </si>
  <si>
    <t>ERES00617AE</t>
  </si>
  <si>
    <t>ERES00623AE</t>
  </si>
  <si>
    <t>ERES00831AE</t>
  </si>
  <si>
    <t>ERES00833AE</t>
  </si>
  <si>
    <t>ERES00836AE</t>
  </si>
  <si>
    <t>ERES00837AE</t>
  </si>
  <si>
    <t>ERES00840AE</t>
  </si>
  <si>
    <t>ERES00841AE</t>
  </si>
  <si>
    <t>ERES00858AE</t>
  </si>
  <si>
    <t>ERES01250AE</t>
  </si>
  <si>
    <t>ERES01448AE</t>
  </si>
  <si>
    <t>ERES01449AE</t>
  </si>
  <si>
    <t>ERES01451AE</t>
  </si>
  <si>
    <t>ERES01452AE</t>
  </si>
  <si>
    <t>ERES01454AE</t>
  </si>
  <si>
    <t>ERES01455AE</t>
  </si>
  <si>
    <t>ERES01456AE</t>
  </si>
  <si>
    <t>ERES01467AE</t>
  </si>
  <si>
    <t>ERES01471AE</t>
  </si>
  <si>
    <t>ETRA00018AE</t>
  </si>
  <si>
    <t>ETRA00019AE</t>
  </si>
  <si>
    <t>ETRA00027AE</t>
  </si>
  <si>
    <t>ETRA00035AE</t>
  </si>
  <si>
    <t>ETRA00044AE</t>
  </si>
  <si>
    <t>ETRA00048AE</t>
  </si>
  <si>
    <t>ETRA00050AE</t>
  </si>
  <si>
    <t>ETRA00066AE</t>
  </si>
  <si>
    <t>ETRA00151AE</t>
  </si>
  <si>
    <t>ETRA00200AE</t>
  </si>
  <si>
    <t>ETRA00201AE</t>
  </si>
  <si>
    <t>ETRA00202AE</t>
  </si>
  <si>
    <t>ETRA00214AE</t>
  </si>
  <si>
    <t>IN01S0000101-00</t>
  </si>
  <si>
    <t>IN01S0000120-00</t>
  </si>
  <si>
    <t>IN01S0000201-00</t>
  </si>
  <si>
    <t>IN01S0000220-00</t>
  </si>
  <si>
    <t>IN01S0000301-00</t>
  </si>
  <si>
    <t>IN01S0000320-00</t>
  </si>
  <si>
    <t>IN01S0000K01-00</t>
  </si>
  <si>
    <t>IN01S0000K21-00</t>
  </si>
  <si>
    <t>IN01S0017511-03</t>
  </si>
  <si>
    <t>IN01S0017511-21</t>
  </si>
  <si>
    <t>IN01S0017Y10-11</t>
  </si>
  <si>
    <t>IN01S0018511-03</t>
  </si>
  <si>
    <t>IN01S0018511-21</t>
  </si>
  <si>
    <t>IN01S0018512-03</t>
  </si>
  <si>
    <t>IN01S0018512-21</t>
  </si>
  <si>
    <t>IN01S0018513-03</t>
  </si>
  <si>
    <t>IN01S0018513-21</t>
  </si>
  <si>
    <t>IN01S0018515-21</t>
  </si>
  <si>
    <t>IN01S0027J11-21</t>
  </si>
  <si>
    <t>IN01S0027Y11-21</t>
  </si>
  <si>
    <t>IN01S0028511-03</t>
  </si>
  <si>
    <t>IN01S0037511-21</t>
  </si>
  <si>
    <t>IN01S0048510-11</t>
  </si>
  <si>
    <t>IN01S0048511-21</t>
  </si>
  <si>
    <t>IN01S0048512-21</t>
  </si>
  <si>
    <t>IN01S0057511-21</t>
  </si>
  <si>
    <t>IN01S0158511-03</t>
  </si>
  <si>
    <t>IN01S0277C11-00</t>
  </si>
  <si>
    <t>IN01S0338211-00</t>
  </si>
  <si>
    <t>IN01S0478211-00</t>
  </si>
  <si>
    <t>IN01S0568Y11-00</t>
  </si>
  <si>
    <t>IN01S0759510-03</t>
  </si>
  <si>
    <t>IN01S0759510-11</t>
  </si>
  <si>
    <t>IN01S0828110-00</t>
  </si>
  <si>
    <t>IN01S1000110-00</t>
  </si>
  <si>
    <t>IN01S1000111-00</t>
  </si>
  <si>
    <t>IN01S1000112-00</t>
  </si>
  <si>
    <t>IN01S1000210-00</t>
  </si>
  <si>
    <t>IN01S1000310-00</t>
  </si>
  <si>
    <t>IN01S1000311-00</t>
  </si>
  <si>
    <t>IN01S1000K11-00</t>
  </si>
  <si>
    <t>IN01S1001110-00</t>
  </si>
  <si>
    <t>IN01S1001210-00</t>
  </si>
  <si>
    <t>IN01S1001310-00</t>
  </si>
  <si>
    <t>IN01S1001311-00</t>
  </si>
  <si>
    <t>IN01S1001K11-00</t>
  </si>
  <si>
    <t>IN01S1001K12-00</t>
  </si>
  <si>
    <t>IN01S1002110-00</t>
  </si>
  <si>
    <t>IN01S1002310-00</t>
  </si>
  <si>
    <t>IN01S1002311-13</t>
  </si>
  <si>
    <t>IN01S1002312-00</t>
  </si>
  <si>
    <t>IN01S1002314-00</t>
  </si>
  <si>
    <t>IN01S1002340-00</t>
  </si>
  <si>
    <t>IN01S1002K11-00</t>
  </si>
  <si>
    <t>IN01S1002K12-00</t>
  </si>
  <si>
    <t>IN01S1002K13-00</t>
  </si>
  <si>
    <t>IN01S1003110-00</t>
  </si>
  <si>
    <t>IN01S1003112-00</t>
  </si>
  <si>
    <t>IN01S1003113-00</t>
  </si>
  <si>
    <t>IN01S1003210-00</t>
  </si>
  <si>
    <t>IN01S1003310-00</t>
  </si>
  <si>
    <t>IN01S1003311-00</t>
  </si>
  <si>
    <t>IN01S1003311-13</t>
  </si>
  <si>
    <t>IN01S1003340-00</t>
  </si>
  <si>
    <t>IN01S1003K11-00</t>
  </si>
  <si>
    <t>IN01S1003K12-00</t>
  </si>
  <si>
    <t>IN01S1004111-00</t>
  </si>
  <si>
    <t>IN01S1004210-00</t>
  </si>
  <si>
    <t>IN01S1004310-00</t>
  </si>
  <si>
    <t>IN01S1004311-07</t>
  </si>
  <si>
    <t>IN01S1004K11-00</t>
  </si>
  <si>
    <t>IN01S1004K12-00</t>
  </si>
  <si>
    <t>IN01S1007111-00</t>
  </si>
  <si>
    <t>IN01S1007121-02</t>
  </si>
  <si>
    <t>IN01S1007211-00</t>
  </si>
  <si>
    <t>IN01S1007221-02</t>
  </si>
  <si>
    <t>IN01S1007311-00</t>
  </si>
  <si>
    <t>IN01S1007313-00</t>
  </si>
  <si>
    <t>IN01S1007K11-00</t>
  </si>
  <si>
    <t>IN01S1007K13-00</t>
  </si>
  <si>
    <t>IN01S1007Y21-04</t>
  </si>
  <si>
    <t>IN01S1008110-00</t>
  </si>
  <si>
    <t>IN01S1008116-00</t>
  </si>
  <si>
    <t>IN01S1008211-00</t>
  </si>
  <si>
    <t>IN01S1008312-00</t>
  </si>
  <si>
    <t>IN01S1008C11-00</t>
  </si>
  <si>
    <t>IN01S1008K12-00</t>
  </si>
  <si>
    <t>IN01S1008Y11-02</t>
  </si>
  <si>
    <t>IN01S1100210-00</t>
  </si>
  <si>
    <t>IN01S1101310-00</t>
  </si>
  <si>
    <t>IN01S1101K11-00</t>
  </si>
  <si>
    <t>IN01S1102110-00</t>
  </si>
  <si>
    <t>IN01S1102210-00</t>
  </si>
  <si>
    <t>IN01S1102310-00</t>
  </si>
  <si>
    <t>IN01S1102K11-00</t>
  </si>
  <si>
    <t>IN01S1103110-00</t>
  </si>
  <si>
    <t>IN01S1103310-00</t>
  </si>
  <si>
    <t>IN01S1103K11-00</t>
  </si>
  <si>
    <t>IN01S1104110-00</t>
  </si>
  <si>
    <t>IN01S1108110-00</t>
  </si>
  <si>
    <t>IN01S1150K12-00</t>
  </si>
  <si>
    <t>IN01S1200310-00</t>
  </si>
  <si>
    <t>IN01S1200K11-00</t>
  </si>
  <si>
    <t>IN01S1201310-00</t>
  </si>
  <si>
    <t>IN01S1201340-00</t>
  </si>
  <si>
    <t>IN01S1201341-00</t>
  </si>
  <si>
    <t>IN01S1201K11-00</t>
  </si>
  <si>
    <t>IN01S1201K12-00</t>
  </si>
  <si>
    <t>IN01S1202110-00</t>
  </si>
  <si>
    <t>IN01S1202210-00</t>
  </si>
  <si>
    <t>IN01S1202310-00</t>
  </si>
  <si>
    <t>IN01S1202311-00</t>
  </si>
  <si>
    <t>IN01S1202K11-00</t>
  </si>
  <si>
    <t>IN01S1202K12-00</t>
  </si>
  <si>
    <t>IN01S1203110-00</t>
  </si>
  <si>
    <t>IN01S1203310-00</t>
  </si>
  <si>
    <t>IN01S1203340-00</t>
  </si>
  <si>
    <t>IN01S1203K11-00</t>
  </si>
  <si>
    <t>IN01S1204110-00</t>
  </si>
  <si>
    <t>IN01S1204111-00</t>
  </si>
  <si>
    <t>IN01S1204310-00</t>
  </si>
  <si>
    <t>IN01S1208110-00</t>
  </si>
  <si>
    <t>IN01S1300210-00</t>
  </si>
  <si>
    <t>IN01S1301110-00</t>
  </si>
  <si>
    <t>IN01S1301210-00</t>
  </si>
  <si>
    <t>IN01S1301310-00</t>
  </si>
  <si>
    <t>IN01S1302310-00</t>
  </si>
  <si>
    <t>IN01S1302K11-00</t>
  </si>
  <si>
    <t>IN01S1302K12-00</t>
  </si>
  <si>
    <t>IN01S1303110-00</t>
  </si>
  <si>
    <t>IN01S1303310-00</t>
  </si>
  <si>
    <t>IN01S1303K11-00</t>
  </si>
  <si>
    <t>IN01S1308110-00</t>
  </si>
  <si>
    <t>IN01S1500110-00</t>
  </si>
  <si>
    <t>IN01S1500310-00</t>
  </si>
  <si>
    <t>IN01S1500311-00</t>
  </si>
  <si>
    <t>IN01S1500K11-00</t>
  </si>
  <si>
    <t>IN01S1500K14-00</t>
  </si>
  <si>
    <t>IN01S1501110-00</t>
  </si>
  <si>
    <t>IN01S1501210-00</t>
  </si>
  <si>
    <t>IN01S1501310-00</t>
  </si>
  <si>
    <t>IN01S1501311-00</t>
  </si>
  <si>
    <t>IN01S1501K11-00</t>
  </si>
  <si>
    <t>IN01S1501K12-00</t>
  </si>
  <si>
    <t>IN01S1502110-00</t>
  </si>
  <si>
    <t>IN01S1502210-00</t>
  </si>
  <si>
    <t>IN01S1502310-00</t>
  </si>
  <si>
    <t>IN01S1502311-00</t>
  </si>
  <si>
    <t>IN01S1502340-00</t>
  </si>
  <si>
    <t>IN01S1502K11-00</t>
  </si>
  <si>
    <t>IN01S1502K13-00</t>
  </si>
  <si>
    <t>IN01S1503110-00</t>
  </si>
  <si>
    <t>IN01S1503210-00</t>
  </si>
  <si>
    <t>IN01S1503310-00</t>
  </si>
  <si>
    <t>IN01S1503K11-00</t>
  </si>
  <si>
    <t>IN01S1503K12-00</t>
  </si>
  <si>
    <t>IN01S1504110-00</t>
  </si>
  <si>
    <t>IN01S1504112-00</t>
  </si>
  <si>
    <t>IN01S1504310-00</t>
  </si>
  <si>
    <t>IN01S1504K11-00</t>
  </si>
  <si>
    <t>IN01S1507311-00</t>
  </si>
  <si>
    <t>IN01S1601K11-00</t>
  </si>
  <si>
    <t>IN01S1602310-00</t>
  </si>
  <si>
    <t>IN01S1602K11-00</t>
  </si>
  <si>
    <t>IN01S1603110-00</t>
  </si>
  <si>
    <t>IN01S1603310-00</t>
  </si>
  <si>
    <t>IN01S1780312-00</t>
  </si>
  <si>
    <t>IN01S1800110-00</t>
  </si>
  <si>
    <t>IN01S1800311-00</t>
  </si>
  <si>
    <t>IN01S1801110-00</t>
  </si>
  <si>
    <t>IN01S1801310-00</t>
  </si>
  <si>
    <t>IN01S1801K11-00</t>
  </si>
  <si>
    <t>IN01S1802110-00</t>
  </si>
  <si>
    <t>IN01S1802211-00</t>
  </si>
  <si>
    <t>IN01S1802310-00</t>
  </si>
  <si>
    <t>IN01S1802K11-00</t>
  </si>
  <si>
    <t>IN01S1802K12-00</t>
  </si>
  <si>
    <t>IN01S1803110-00</t>
  </si>
  <si>
    <t>IN01S1803310-00</t>
  </si>
  <si>
    <t>IN01S1803311-00</t>
  </si>
  <si>
    <t>IN01S1803K11-00</t>
  </si>
  <si>
    <t>IN01S1804112-00</t>
  </si>
  <si>
    <t>IN01S1804113-00</t>
  </si>
  <si>
    <t>IN01S1808110-00</t>
  </si>
  <si>
    <t>IN01S1808211-00</t>
  </si>
  <si>
    <t>IN01S2000110-00</t>
  </si>
  <si>
    <t>IN01S2000310-00</t>
  </si>
  <si>
    <t>IN01S2000K11-00</t>
  </si>
  <si>
    <t>IN01S2001110-00</t>
  </si>
  <si>
    <t>IN01S2001210-00</t>
  </si>
  <si>
    <t>IN01S2001310-00</t>
  </si>
  <si>
    <t>IN01S2001340-00</t>
  </si>
  <si>
    <t>IN01S2001K11-00</t>
  </si>
  <si>
    <t>IN01S2002110-00</t>
  </si>
  <si>
    <t>IN01S2002310-00</t>
  </si>
  <si>
    <t>IN01S2002311-00</t>
  </si>
  <si>
    <t>IN01S2002321-13</t>
  </si>
  <si>
    <t>IN01S2002340-00</t>
  </si>
  <si>
    <t>IN01S2002K11-00</t>
  </si>
  <si>
    <t>IN01S2002K12-00</t>
  </si>
  <si>
    <t>IN01S2003110-00</t>
  </si>
  <si>
    <t>IN01S2003210-00</t>
  </si>
  <si>
    <t>IN01S2003310-00</t>
  </si>
  <si>
    <t>IN01S2003340-00</t>
  </si>
  <si>
    <t>IN01S2003K11-00</t>
  </si>
  <si>
    <t>IN01S2004310-00</t>
  </si>
  <si>
    <t>IN01S2004K11-00</t>
  </si>
  <si>
    <t>IN01S2007121-02</t>
  </si>
  <si>
    <t>IN01S2007Y21-04</t>
  </si>
  <si>
    <t>IN01S2200210-00</t>
  </si>
  <si>
    <t>IN01S2201110-00</t>
  </si>
  <si>
    <t>IN01S2201111-00</t>
  </si>
  <si>
    <t>IN01S2201210-00</t>
  </si>
  <si>
    <t>IN01S2201310-00</t>
  </si>
  <si>
    <t>IN01S2201311-00</t>
  </si>
  <si>
    <t>IN01S2201K11-00</t>
  </si>
  <si>
    <t>IN01S2201K12-00</t>
  </si>
  <si>
    <t>IN01S2202110-00</t>
  </si>
  <si>
    <t>IN01S2202210-00</t>
  </si>
  <si>
    <t>IN01S2202310-00</t>
  </si>
  <si>
    <t>IN01S2202311-00</t>
  </si>
  <si>
    <t>IN01S2202K11-00</t>
  </si>
  <si>
    <t>IN01S2202K12-00</t>
  </si>
  <si>
    <t>IN01S2202K13-00</t>
  </si>
  <si>
    <t>IN01S2203110-00</t>
  </si>
  <si>
    <t>IN01S2203111-00</t>
  </si>
  <si>
    <t>IN01S2203K11-00</t>
  </si>
  <si>
    <t>IN01S2203K12-00</t>
  </si>
  <si>
    <t>IN01S2204K12-00</t>
  </si>
  <si>
    <t>IN01S2207111-00</t>
  </si>
  <si>
    <t>IN01S2207311-00</t>
  </si>
  <si>
    <t>IN01S2208111-00</t>
  </si>
  <si>
    <t>IN01S2208121-02</t>
  </si>
  <si>
    <t>IN01S2208210-00</t>
  </si>
  <si>
    <t>IN01S2208211-00</t>
  </si>
  <si>
    <t>IN01S2208311-00</t>
  </si>
  <si>
    <t>IN01S2401210-00</t>
  </si>
  <si>
    <t>IN01S2401310-00</t>
  </si>
  <si>
    <t>IN01S2401K11-00</t>
  </si>
  <si>
    <t>IN01S2401K12-00</t>
  </si>
  <si>
    <t>IN01S2402110-00</t>
  </si>
  <si>
    <t>IN01S2402210-00</t>
  </si>
  <si>
    <t>IN01S2402310-00</t>
  </si>
  <si>
    <t>IN01S2402K11-00</t>
  </si>
  <si>
    <t>IN01S2402K13-00</t>
  </si>
  <si>
    <t>IN01S2403110-00</t>
  </si>
  <si>
    <t>IN01S2403310-00</t>
  </si>
  <si>
    <t>IN01S2403K11-00</t>
  </si>
  <si>
    <t>IN01S2404110-00</t>
  </si>
  <si>
    <t>IN01S2408110-00</t>
  </si>
  <si>
    <t>IN01S2408211-00</t>
  </si>
  <si>
    <t>IN01S2408Y11-02</t>
  </si>
  <si>
    <t>IN01S2700210-00</t>
  </si>
  <si>
    <t>IN01S2701110-00</t>
  </si>
  <si>
    <t>IN01S2701111-00</t>
  </si>
  <si>
    <t>IN01S2701210-00</t>
  </si>
  <si>
    <t>IN01S2701310-00</t>
  </si>
  <si>
    <t>IN01S2701311-00</t>
  </si>
  <si>
    <t>IN01S2701K11-00</t>
  </si>
  <si>
    <t>IN01S2702110-00</t>
  </si>
  <si>
    <t>IN01S2702111-00</t>
  </si>
  <si>
    <t>IN01S2702310-00</t>
  </si>
  <si>
    <t>IN01S2702311-00</t>
  </si>
  <si>
    <t>IN01S2702K11-00</t>
  </si>
  <si>
    <t>IN01S2702K12-00</t>
  </si>
  <si>
    <t>IN01S2703110-00</t>
  </si>
  <si>
    <t>IN01S2703210-00</t>
  </si>
  <si>
    <t>IN01S2703310-00</t>
  </si>
  <si>
    <t>IN01S2707210-00</t>
  </si>
  <si>
    <t>IN01S2708110-00</t>
  </si>
  <si>
    <t>IN01S2708211-00</t>
  </si>
  <si>
    <t>IN01S3000110-00</t>
  </si>
  <si>
    <t>IN01S3000K11-00</t>
  </si>
  <si>
    <t>IN01S3001110-00</t>
  </si>
  <si>
    <t>IN01S3001210-00</t>
  </si>
  <si>
    <t>IN01S3001310-00</t>
  </si>
  <si>
    <t>IN01S3001K11-00</t>
  </si>
  <si>
    <t>IN01S3002110-00</t>
  </si>
  <si>
    <t>IN01S3002210-00</t>
  </si>
  <si>
    <t>IN01S3002310-00</t>
  </si>
  <si>
    <t>IN01S3002K11-00</t>
  </si>
  <si>
    <t>IN01S3002K12-00</t>
  </si>
  <si>
    <t>IN01S3002K13-00</t>
  </si>
  <si>
    <t>IN01S3003110-00</t>
  </si>
  <si>
    <t>IN01S3003310-00</t>
  </si>
  <si>
    <t>IN01S3003K11-00</t>
  </si>
  <si>
    <t>IN01S3004110-00</t>
  </si>
  <si>
    <t>IN01S3004111-00</t>
  </si>
  <si>
    <t>IN01S3004113-00</t>
  </si>
  <si>
    <t>IN01S3004210-00</t>
  </si>
  <si>
    <t>IN01S3004310-00</t>
  </si>
  <si>
    <t>IN01S3004K11-00</t>
  </si>
  <si>
    <t>IN01S3007K11-00</t>
  </si>
  <si>
    <t>IN01S3008111-00</t>
  </si>
  <si>
    <t>IN01S3098K12-00</t>
  </si>
  <si>
    <t>IN01S3300310-00</t>
  </si>
  <si>
    <t>IN01S3300311-00</t>
  </si>
  <si>
    <t>IN01S3300K12-00</t>
  </si>
  <si>
    <t>IN01S3301110-00</t>
  </si>
  <si>
    <t>IN01S3301310-00</t>
  </si>
  <si>
    <t>IN01S3301311-00</t>
  </si>
  <si>
    <t>IN01S3301K11-00</t>
  </si>
  <si>
    <t>IN01S3301K12-00</t>
  </si>
  <si>
    <t>IN01S3302210-00</t>
  </si>
  <si>
    <t>IN01S3302211-00</t>
  </si>
  <si>
    <t>IN01S3302310-00</t>
  </si>
  <si>
    <t>IN01S3302311-00</t>
  </si>
  <si>
    <t>IN01S3302K11-00</t>
  </si>
  <si>
    <t>IN01S3302K12-00</t>
  </si>
  <si>
    <t>IN01S3303111-00</t>
  </si>
  <si>
    <t>IN01S3303113-00</t>
  </si>
  <si>
    <t>IN01S3303211-00</t>
  </si>
  <si>
    <t>IN01S3303310-00</t>
  </si>
  <si>
    <t>IN01S3303K11-00</t>
  </si>
  <si>
    <t>IN01S3307311-00</t>
  </si>
  <si>
    <t>IN01S3307K12-00</t>
  </si>
  <si>
    <t>IN01S3308121-02</t>
  </si>
  <si>
    <t>IN01S3308310-00</t>
  </si>
  <si>
    <t>IN01S3320310-00</t>
  </si>
  <si>
    <t>IN01S3480311-00</t>
  </si>
  <si>
    <t>IN01S3600110-00</t>
  </si>
  <si>
    <t>IN01S3601210-00</t>
  </si>
  <si>
    <t>IN01S3601310-00</t>
  </si>
  <si>
    <t>IN01S3601K11-00</t>
  </si>
  <si>
    <t>IN01S3601K12-00</t>
  </si>
  <si>
    <t>IN01S3602110-00</t>
  </si>
  <si>
    <t>IN01S3602210-00</t>
  </si>
  <si>
    <t>IN01S3602310-00</t>
  </si>
  <si>
    <t>IN01S3602340-00</t>
  </si>
  <si>
    <t>IN01S3602K11-00</t>
  </si>
  <si>
    <t>IN01S3603210-00</t>
  </si>
  <si>
    <t>IN01S3657K12-00</t>
  </si>
  <si>
    <t>IN01S3900210-00</t>
  </si>
  <si>
    <t>IN01S3900211-00</t>
  </si>
  <si>
    <t>IN01S3900K11-00</t>
  </si>
  <si>
    <t>IN01S3901110-00</t>
  </si>
  <si>
    <t>IN01S3901310-00</t>
  </si>
  <si>
    <t>IN01S3901K11-00</t>
  </si>
  <si>
    <t>IN01S3901K12-00</t>
  </si>
  <si>
    <t>IN01S3901K13-00</t>
  </si>
  <si>
    <t>IN01S3902110-00</t>
  </si>
  <si>
    <t>IN01S3902210-00</t>
  </si>
  <si>
    <t>IN01S3902310-00</t>
  </si>
  <si>
    <t>IN01S3902311-00</t>
  </si>
  <si>
    <t>IN01S3902K11-00</t>
  </si>
  <si>
    <t>IN01S3903310-00</t>
  </si>
  <si>
    <t>IN01S3907111-00</t>
  </si>
  <si>
    <t>IN01S3907121-02</t>
  </si>
  <si>
    <t>IN01S3907Y21-04</t>
  </si>
  <si>
    <t>IN01S4228112-00</t>
  </si>
  <si>
    <t>IN01S4301210-00</t>
  </si>
  <si>
    <t>IN01S4301310-00</t>
  </si>
  <si>
    <t>IN01S4301K11-00</t>
  </si>
  <si>
    <t>IN01S4301K12-00</t>
  </si>
  <si>
    <t>IN01S4302110-00</t>
  </si>
  <si>
    <t>IN01S4302210-00</t>
  </si>
  <si>
    <t>IN01S4302310-00</t>
  </si>
  <si>
    <t>IN01S4302311-00</t>
  </si>
  <si>
    <t>IN01S4302340-00</t>
  </si>
  <si>
    <t>IN01S4302K11-00</t>
  </si>
  <si>
    <t>IN01S4303110-00</t>
  </si>
  <si>
    <t>IN01S4303K11-00</t>
  </si>
  <si>
    <t>IN01S4307310-00</t>
  </si>
  <si>
    <t>IN01S4700110-00</t>
  </si>
  <si>
    <t>IN01S4700311-00</t>
  </si>
  <si>
    <t>IN01S4700K12-00</t>
  </si>
  <si>
    <t>IN01S4701110-00</t>
  </si>
  <si>
    <t>IN01S4701310-00</t>
  </si>
  <si>
    <t>IN01S4701311-00</t>
  </si>
  <si>
    <t>IN01S4701K11-00</t>
  </si>
  <si>
    <t>IN01S4701K13-00</t>
  </si>
  <si>
    <t>IN01S4701Y32-07</t>
  </si>
  <si>
    <t>IN01S4702111-00</t>
  </si>
  <si>
    <t>IN01S4702210-00</t>
  </si>
  <si>
    <t>IN01S4702211-00</t>
  </si>
  <si>
    <t>IN01S4702310-00</t>
  </si>
  <si>
    <t>IN01S4702K11-00</t>
  </si>
  <si>
    <t>IN01S4702K13-00</t>
  </si>
  <si>
    <t>IN01S4703111-00</t>
  </si>
  <si>
    <t>IN01S4703210-00</t>
  </si>
  <si>
    <t>IN01S4703371-00</t>
  </si>
  <si>
    <t>IN01S4703K31-23</t>
  </si>
  <si>
    <t>IN01S4704C11-00</t>
  </si>
  <si>
    <t>IN01S4707121-02</t>
  </si>
  <si>
    <t>IN01S4707211-00</t>
  </si>
  <si>
    <t>IN01S4707310-00</t>
  </si>
  <si>
    <t>IN01S4707311-00</t>
  </si>
  <si>
    <t>IN01S4707Y21-04</t>
  </si>
  <si>
    <t>IN01S4708110-00</t>
  </si>
  <si>
    <t>IN01S4708112-00</t>
  </si>
  <si>
    <t>IN01S4708312-00</t>
  </si>
  <si>
    <t>IN01S5100110-00</t>
  </si>
  <si>
    <t>IN01S5100210-00</t>
  </si>
  <si>
    <t>IN01S5100310-00</t>
  </si>
  <si>
    <t>IN01S5100340-00</t>
  </si>
  <si>
    <t>IN01S5100K11-00</t>
  </si>
  <si>
    <t>IN01S5101110-00</t>
  </si>
  <si>
    <t>IN01S5101210-00</t>
  </si>
  <si>
    <t>IN01S5101310-00</t>
  </si>
  <si>
    <t>IN01S5101311-00</t>
  </si>
  <si>
    <t>IN01S5101K11-00</t>
  </si>
  <si>
    <t>IN01S5102110-00</t>
  </si>
  <si>
    <t>IN01S5102210-00</t>
  </si>
  <si>
    <t>IN01S5102310-00</t>
  </si>
  <si>
    <t>IN01S5102K11-00</t>
  </si>
  <si>
    <t>IN01S5103110-00</t>
  </si>
  <si>
    <t>IN01S5103111-00</t>
  </si>
  <si>
    <t>IN01S5103210-00</t>
  </si>
  <si>
    <t>IN01S5103211-00</t>
  </si>
  <si>
    <t>IN01S5103310-00</t>
  </si>
  <si>
    <t>IN01S5103311-00</t>
  </si>
  <si>
    <t>IN01S5103K11-00</t>
  </si>
  <si>
    <t>IN01S5104110-00</t>
  </si>
  <si>
    <t>IN01S5104111-00</t>
  </si>
  <si>
    <t>IN01S5104K11-00</t>
  </si>
  <si>
    <t>IN01S5107110-00</t>
  </si>
  <si>
    <t>IN01S5107210-00</t>
  </si>
  <si>
    <t>IN01S5108121-02</t>
  </si>
  <si>
    <t>IN01S5108Y21-04</t>
  </si>
  <si>
    <t>IN01S5600110-00</t>
  </si>
  <si>
    <t>IN01S5600311-00</t>
  </si>
  <si>
    <t>IN01S5600K11-00</t>
  </si>
  <si>
    <t>IN01S5600K12-00</t>
  </si>
  <si>
    <t>IN01S5601310-00</t>
  </si>
  <si>
    <t>IN01S5601311-00</t>
  </si>
  <si>
    <t>IN01S5601K11-00</t>
  </si>
  <si>
    <t>IN01S5601K12-00</t>
  </si>
  <si>
    <t>IN01S5602110-00</t>
  </si>
  <si>
    <t>IN01S5602311-00</t>
  </si>
  <si>
    <t>IN01S5602K11-00</t>
  </si>
  <si>
    <t>IN01S5602K12-00</t>
  </si>
  <si>
    <t>IN01S5603110-00</t>
  </si>
  <si>
    <t>IN01S5603210-00</t>
  </si>
  <si>
    <t>IN01S5603310-00</t>
  </si>
  <si>
    <t>IN01S5607121-02</t>
  </si>
  <si>
    <t>IN01S5607K11-00</t>
  </si>
  <si>
    <t>IN01S5607Y21-04</t>
  </si>
  <si>
    <t>IN01S5608112-00</t>
  </si>
  <si>
    <t>IN01S5900311-00</t>
  </si>
  <si>
    <t>IN01S6200210-00</t>
  </si>
  <si>
    <t>IN01S6200310-00</t>
  </si>
  <si>
    <t>IN01S6200K11-00</t>
  </si>
  <si>
    <t>IN01S6201110-00</t>
  </si>
  <si>
    <t>IN01S6201210-00</t>
  </si>
  <si>
    <t>IN01S6201310-00</t>
  </si>
  <si>
    <t>IN01S6201K11-00</t>
  </si>
  <si>
    <t>IN01S6201K12-00</t>
  </si>
  <si>
    <t>IN01S6202110-00</t>
  </si>
  <si>
    <t>IN01S6202210-00</t>
  </si>
  <si>
    <t>IN01S6202310-00</t>
  </si>
  <si>
    <t>IN01S6202340-00</t>
  </si>
  <si>
    <t>IN01S6202K11-00</t>
  </si>
  <si>
    <t>IN01S6203110-00</t>
  </si>
  <si>
    <t>IN01S6203210-00</t>
  </si>
  <si>
    <t>IN01S6203310-00</t>
  </si>
  <si>
    <t>IN01S6207311-00</t>
  </si>
  <si>
    <t>IN01S6497111-00</t>
  </si>
  <si>
    <t>IN01S6800110-00</t>
  </si>
  <si>
    <t>IN01S6800211-00</t>
  </si>
  <si>
    <t>IN01S6800310-00</t>
  </si>
  <si>
    <t>IN01S6800311-00</t>
  </si>
  <si>
    <t>IN01S6800K11-00</t>
  </si>
  <si>
    <t>IN01S6801110-00</t>
  </si>
  <si>
    <t>IN01S6801210-00</t>
  </si>
  <si>
    <t>IN01S6801310-00</t>
  </si>
  <si>
    <t>IN01S6801311-00</t>
  </si>
  <si>
    <t>IN01S6801K11-00</t>
  </si>
  <si>
    <t>IN01S6801K12-00</t>
  </si>
  <si>
    <t>IN01S6802110-00</t>
  </si>
  <si>
    <t>IN01S6802310-00</t>
  </si>
  <si>
    <t>IN01S6802K11-00</t>
  </si>
  <si>
    <t>IN01S6803110-00</t>
  </si>
  <si>
    <t>IN01S6803111-00</t>
  </si>
  <si>
    <t>IN01S6803112-00</t>
  </si>
  <si>
    <t>IN01S6803210-00</t>
  </si>
  <si>
    <t>IN01S6803211-00</t>
  </si>
  <si>
    <t>IN01S6803K11-00</t>
  </si>
  <si>
    <t>IN01S7500310-00</t>
  </si>
  <si>
    <t>IN01S7500K11-00</t>
  </si>
  <si>
    <t>IN01S7501110-00</t>
  </si>
  <si>
    <t>IN01S7501310-00</t>
  </si>
  <si>
    <t>IN01S7501K11-00</t>
  </si>
  <si>
    <t>IN01S7501K12-00</t>
  </si>
  <si>
    <t>IN01S7502110-00</t>
  </si>
  <si>
    <t>IN01S7502310-00</t>
  </si>
  <si>
    <t>IN01S7502K11-00</t>
  </si>
  <si>
    <t>IN01S7503110-00</t>
  </si>
  <si>
    <t>IN01S7503111-00</t>
  </si>
  <si>
    <t>IN01S7503310-00</t>
  </si>
  <si>
    <t>IN01S7503K11-00</t>
  </si>
  <si>
    <t>IN01S7507110-00</t>
  </si>
  <si>
    <t>IN01S8200310-00</t>
  </si>
  <si>
    <t>IN01S8200K11-00</t>
  </si>
  <si>
    <t>IN01S8201110-00</t>
  </si>
  <si>
    <t>IN01S8201111-00</t>
  </si>
  <si>
    <t>IN01S8201211-00</t>
  </si>
  <si>
    <t>IN01S8201310-00</t>
  </si>
  <si>
    <t>IN01S8201340-00</t>
  </si>
  <si>
    <t>IN01S8201K11-00</t>
  </si>
  <si>
    <t>IN01S8202110-00</t>
  </si>
  <si>
    <t>IN01S8202111-00</t>
  </si>
  <si>
    <t>IN01S8202310-00</t>
  </si>
  <si>
    <t>IN01S8202K11-00</t>
  </si>
  <si>
    <t>IN01S8202K13-00</t>
  </si>
  <si>
    <t>IN01S8202K14-00</t>
  </si>
  <si>
    <t>IN01S8203110-00</t>
  </si>
  <si>
    <t>IN01S8203K11-00</t>
  </si>
  <si>
    <t>IN01S9100K11-00</t>
  </si>
  <si>
    <t>IN01S9101310-00</t>
  </si>
  <si>
    <t>IN01S9101311-00</t>
  </si>
  <si>
    <t>IN01S9101K11-00</t>
  </si>
  <si>
    <t>IN01S9102110-00</t>
  </si>
  <si>
    <t>IN01S9102210-00</t>
  </si>
  <si>
    <t>IN01S9102310-00</t>
  </si>
  <si>
    <t>IN01S9102340-00</t>
  </si>
  <si>
    <t>IN01S9102K11-00</t>
  </si>
  <si>
    <t>IN01S9103110-00</t>
  </si>
  <si>
    <t>IN02E1070401-14</t>
  </si>
  <si>
    <t>IN02S0220501-00</t>
  </si>
  <si>
    <t>IN02S1000501-00</t>
  </si>
  <si>
    <t>IN02S1002101-00</t>
  </si>
  <si>
    <t>IN02S1010520-00</t>
  </si>
  <si>
    <t>IN02S1010552-00</t>
  </si>
  <si>
    <t>IN02S1010553-00</t>
  </si>
  <si>
    <t>IN02S1010554-00</t>
  </si>
  <si>
    <t>IN02S1011901-00</t>
  </si>
  <si>
    <t>IN02S1012180-00</t>
  </si>
  <si>
    <t>IN02S1012181-00</t>
  </si>
  <si>
    <t>IN02S1020530-00</t>
  </si>
  <si>
    <t>IN02S1020531-00</t>
  </si>
  <si>
    <t>IN02S1020561-00</t>
  </si>
  <si>
    <t>IN02S1020563-00</t>
  </si>
  <si>
    <t>IN02S1020564-00</t>
  </si>
  <si>
    <t>IN02S1020860-00</t>
  </si>
  <si>
    <t>IN02S1021501-37</t>
  </si>
  <si>
    <t>IN02S1021990-00</t>
  </si>
  <si>
    <t>IN02S1021991-00</t>
  </si>
  <si>
    <t>IN02S1022101-00</t>
  </si>
  <si>
    <t>IN02S1030530-00</t>
  </si>
  <si>
    <t>IN02S1030591-00</t>
  </si>
  <si>
    <t>IN02S1030593-00</t>
  </si>
  <si>
    <t>IN02S1030594-00</t>
  </si>
  <si>
    <t>IN02S1031990-00</t>
  </si>
  <si>
    <t>IN02S1031991-00</t>
  </si>
  <si>
    <t>IN02S1032180-00</t>
  </si>
  <si>
    <t>IN02S1040201-00</t>
  </si>
  <si>
    <t>IN02S1040202-00</t>
  </si>
  <si>
    <t>IN02S1040361-00</t>
  </si>
  <si>
    <t>IN02S1040530-00</t>
  </si>
  <si>
    <t>IN02S1040531-00</t>
  </si>
  <si>
    <t>IN02S1040560-00</t>
  </si>
  <si>
    <t>IN02S1040591-00</t>
  </si>
  <si>
    <t>IN02S1040860-00</t>
  </si>
  <si>
    <t>IN02S1040891-00</t>
  </si>
  <si>
    <t>IN02S1040892-00</t>
  </si>
  <si>
    <t>IN02S1041290-00</t>
  </si>
  <si>
    <t>IN02S1050001-00</t>
  </si>
  <si>
    <t>IN02S1050002-00</t>
  </si>
  <si>
    <t>IN02S1050230-00</t>
  </si>
  <si>
    <t>IN02S1050231-00</t>
  </si>
  <si>
    <t>IN02S1050360-00</t>
  </si>
  <si>
    <t>IN02S1050361-00</t>
  </si>
  <si>
    <t>IN02S1050561-00</t>
  </si>
  <si>
    <t>IN02S1050590-00</t>
  </si>
  <si>
    <t>IN02S1050801-00</t>
  </si>
  <si>
    <t>IN02S1050802-00</t>
  </si>
  <si>
    <t>IN02S1060101-00</t>
  </si>
  <si>
    <t>IN02S1060290-00</t>
  </si>
  <si>
    <t>IN02S1060301-00</t>
  </si>
  <si>
    <t>IN02S1060391-00</t>
  </si>
  <si>
    <t>IN02S1510501-00</t>
  </si>
  <si>
    <t>IN02S1511901-00</t>
  </si>
  <si>
    <t>IN02S1520563-00</t>
  </si>
  <si>
    <t>IN02S1521501-37</t>
  </si>
  <si>
    <t>IN02S1521901-00</t>
  </si>
  <si>
    <t>IN02S1530301-00</t>
  </si>
  <si>
    <t>IN02S1530530-00</t>
  </si>
  <si>
    <t>IN02S2200520-00</t>
  </si>
  <si>
    <t>IN02S2200522-00</t>
  </si>
  <si>
    <t>IN02S2200551-00</t>
  </si>
  <si>
    <t>IN02S2200552-00</t>
  </si>
  <si>
    <t>IN02S2200553-00</t>
  </si>
  <si>
    <t>IN02S2210510-00</t>
  </si>
  <si>
    <t>IN02S2210561-00</t>
  </si>
  <si>
    <t>IN02S2210562-00</t>
  </si>
  <si>
    <t>IN02S2210563-00</t>
  </si>
  <si>
    <t>IN02S2210564-00</t>
  </si>
  <si>
    <t>IN02S2211901-00</t>
  </si>
  <si>
    <t>IN02S2212191-00</t>
  </si>
  <si>
    <t>IN02S2220530-00</t>
  </si>
  <si>
    <t>IN02S2220531-00</t>
  </si>
  <si>
    <t>IN02S2220561-00</t>
  </si>
  <si>
    <t>IN02S2221990-00</t>
  </si>
  <si>
    <t>IN02S2221991-00</t>
  </si>
  <si>
    <t>IN02S2221992-00</t>
  </si>
  <si>
    <t>IN02S2230301-00</t>
  </si>
  <si>
    <t>IN02S2230530-00</t>
  </si>
  <si>
    <t>IN02S2240330-00</t>
  </si>
  <si>
    <t>IN02S2240331-00</t>
  </si>
  <si>
    <t>IN02S2240361-00</t>
  </si>
  <si>
    <t>IN02S2240560-00</t>
  </si>
  <si>
    <t>IN02S2240590-00</t>
  </si>
  <si>
    <t>IN02S2240591-00</t>
  </si>
  <si>
    <t>IN02S2240592-00</t>
  </si>
  <si>
    <t>IN02S2250360-00</t>
  </si>
  <si>
    <t>IN02S2250361-00</t>
  </si>
  <si>
    <t>IN02S2250590-00</t>
  </si>
  <si>
    <t>IN02S2250803-00</t>
  </si>
  <si>
    <t>IN02S2251001-00</t>
  </si>
  <si>
    <t>IN02S2260190-00</t>
  </si>
  <si>
    <t>IN02S3300521-00</t>
  </si>
  <si>
    <t>IN02S3310502-00</t>
  </si>
  <si>
    <t>IN02S3310503-00</t>
  </si>
  <si>
    <t>IN02S3320530-00</t>
  </si>
  <si>
    <t>IN02S3320531-00</t>
  </si>
  <si>
    <t>IN02S3320562-00</t>
  </si>
  <si>
    <t>IN02S3321401-37</t>
  </si>
  <si>
    <t>IN02S3330201-00</t>
  </si>
  <si>
    <t>IN02S3330530-00</t>
  </si>
  <si>
    <t>IN02S3340330-00</t>
  </si>
  <si>
    <t>IN02S3340560-00</t>
  </si>
  <si>
    <t>IN02S4700530-00</t>
  </si>
  <si>
    <t>IN02S4700531-00</t>
  </si>
  <si>
    <t>IN02S4700532-00</t>
  </si>
  <si>
    <t>IN02S4700533-00</t>
  </si>
  <si>
    <t>IN02S4700534-00</t>
  </si>
  <si>
    <t>IN02S4701901-00</t>
  </si>
  <si>
    <t>IN02S4702181-00</t>
  </si>
  <si>
    <t>IN02S4702182-00</t>
  </si>
  <si>
    <t>IN02S4710521-00</t>
  </si>
  <si>
    <t>IN02S4710530-00</t>
  </si>
  <si>
    <t>IN02S4710591-00</t>
  </si>
  <si>
    <t>IN02S4710592-00</t>
  </si>
  <si>
    <t>IN02S4710594-00</t>
  </si>
  <si>
    <t>IN02S4712190-00</t>
  </si>
  <si>
    <t>IN02S4720530-00</t>
  </si>
  <si>
    <t>IN02S4720531-00</t>
  </si>
  <si>
    <t>IN02S4720561-00</t>
  </si>
  <si>
    <t>IN02S4720562-00</t>
  </si>
  <si>
    <t>IN02S4722190-00</t>
  </si>
  <si>
    <t>IN02S4730201-00</t>
  </si>
  <si>
    <t>IN02S4730530-00</t>
  </si>
  <si>
    <t>IN02S4730531-00</t>
  </si>
  <si>
    <t>IN02S4731990-00</t>
  </si>
  <si>
    <t>IN02S4731991-00</t>
  </si>
  <si>
    <t>IN02S4740230-00</t>
  </si>
  <si>
    <t>IN02S4740360-00</t>
  </si>
  <si>
    <t>IN02S4740591-00</t>
  </si>
  <si>
    <t>IN02S4750291-00</t>
  </si>
  <si>
    <t>IN02S4750390-00</t>
  </si>
  <si>
    <t>IN02S4750394-00</t>
  </si>
  <si>
    <t>IN02S4750590-00</t>
  </si>
  <si>
    <t>IN02S4750591-00</t>
  </si>
  <si>
    <t>IN02S4790501-00</t>
  </si>
  <si>
    <t>IN02S6810530-00</t>
  </si>
  <si>
    <t>IN02S6811901-00</t>
  </si>
  <si>
    <t>IN02S6811902-00</t>
  </si>
  <si>
    <t>IN02S6812190-00</t>
  </si>
  <si>
    <t>IN02S6820530-00</t>
  </si>
  <si>
    <t>IN02S6820531-00</t>
  </si>
  <si>
    <t>IN02S6830201-00</t>
  </si>
  <si>
    <t>IN02S6830530-00</t>
  </si>
  <si>
    <t>IN02S6840360-00</t>
  </si>
  <si>
    <t>IN03S3216001-09</t>
  </si>
  <si>
    <t>IN03S3216001-13</t>
  </si>
  <si>
    <t>IN03S3216001-15</t>
  </si>
  <si>
    <t>IN03S3216003-13</t>
  </si>
  <si>
    <t>IN03S3216113-00</t>
  </si>
  <si>
    <t>IN03S3216114-00</t>
  </si>
  <si>
    <t>IN03S3216118-00</t>
  </si>
  <si>
    <t>IN04S1000000-02</t>
  </si>
  <si>
    <t>IN04S1010001-20</t>
  </si>
  <si>
    <t>IN04S1020001-21</t>
  </si>
  <si>
    <t>IN04S1700000-02</t>
  </si>
  <si>
    <t>IN04S1710001-20</t>
  </si>
  <si>
    <t>IN04S1716101-21</t>
  </si>
  <si>
    <t>IN04S2206201-20</t>
  </si>
  <si>
    <t>IN04S2416201-26</t>
  </si>
  <si>
    <t>IN04S2500001-02</t>
  </si>
  <si>
    <t>IN04S2516101-20</t>
  </si>
  <si>
    <t>IN04S2516101-21</t>
  </si>
  <si>
    <t>IN04S2616201-25</t>
  </si>
  <si>
    <t>IN04S3620001-21</t>
  </si>
  <si>
    <t>IN04S3620601-16</t>
  </si>
  <si>
    <t>IN04S5807101-29</t>
  </si>
  <si>
    <t>IN04S6010001-16</t>
  </si>
  <si>
    <t>IN04S6010001-19</t>
  </si>
  <si>
    <t>IN04S6010001-21</t>
  </si>
  <si>
    <t>IN04S6010002-16</t>
  </si>
  <si>
    <t>IN04S6010501-16</t>
  </si>
  <si>
    <t>IN04S6010501-21</t>
  </si>
  <si>
    <t>IN04S7000001-23</t>
  </si>
  <si>
    <t>IN04S9000001-01</t>
  </si>
  <si>
    <t>IN04S9000001-21</t>
  </si>
  <si>
    <t>IN05S0000001-00</t>
  </si>
  <si>
    <t>IN05S1000000-10</t>
  </si>
  <si>
    <t>IN05S1000001-14</t>
  </si>
  <si>
    <t>IN05S1000001-18</t>
  </si>
  <si>
    <t>IN05S1000001-41</t>
  </si>
  <si>
    <t>IN05S1000002-06</t>
  </si>
  <si>
    <t>IN05S1000002-41</t>
  </si>
  <si>
    <t>IN05S1000002-47</t>
  </si>
  <si>
    <t>IN05S1000002-49</t>
  </si>
  <si>
    <t>IN05S1000004-06</t>
  </si>
  <si>
    <t>IN05S1000007-06</t>
  </si>
  <si>
    <t>IN05S1000008-06</t>
  </si>
  <si>
    <t>IN05S1080001-18</t>
  </si>
  <si>
    <t>IN05S1080003-18</t>
  </si>
  <si>
    <t>IN05S1150000-06</t>
  </si>
  <si>
    <t>IN05S1150001-18</t>
  </si>
  <si>
    <t>IN05S1361004-04</t>
  </si>
  <si>
    <t>IN05S1414800-06</t>
  </si>
  <si>
    <t>IN05S1414801-17</t>
  </si>
  <si>
    <t>IN05S1444801-06</t>
  </si>
  <si>
    <t>IN05S1600000-06</t>
  </si>
  <si>
    <t>IN05S1610001-18</t>
  </si>
  <si>
    <t>IN05S1800001-06</t>
  </si>
  <si>
    <t>IN05S2000000-03</t>
  </si>
  <si>
    <t>IN05S2000001-06</t>
  </si>
  <si>
    <t>IN05S2000002-03</t>
  </si>
  <si>
    <t>IN05S2000002-47</t>
  </si>
  <si>
    <t>IN05S2000004-06</t>
  </si>
  <si>
    <t>IN05S2000007-06</t>
  </si>
  <si>
    <t>IN05S2100000-06</t>
  </si>
  <si>
    <t>IN05S2100001-05</t>
  </si>
  <si>
    <t>IN05S2100001-06</t>
  </si>
  <si>
    <t>IN05S2110001-18</t>
  </si>
  <si>
    <t>IN05S2110002-18</t>
  </si>
  <si>
    <t>IN05S2200001-14</t>
  </si>
  <si>
    <t>IN05S3000001-17</t>
  </si>
  <si>
    <t>IN05S3000001-18</t>
  </si>
  <si>
    <t>IN05S3000003-47</t>
  </si>
  <si>
    <t>IN05S3080001-18</t>
  </si>
  <si>
    <t>IN05S3121000-18</t>
  </si>
  <si>
    <t>IN05S3150001-49</t>
  </si>
  <si>
    <t>IN05S3161000-18</t>
  </si>
  <si>
    <t>IN05S3181000-18</t>
  </si>
  <si>
    <t>IN05S3331000-18</t>
  </si>
  <si>
    <t>IN05S3600000-12</t>
  </si>
  <si>
    <t>IN05S3600001-10</t>
  </si>
  <si>
    <t>IN05S3600001-17</t>
  </si>
  <si>
    <t>IN05S4148001-41</t>
  </si>
  <si>
    <t>IN05S4148101-18</t>
  </si>
  <si>
    <t>IN05S4700001-18</t>
  </si>
  <si>
    <t>IN05S5213001-06</t>
  </si>
  <si>
    <t>IN05S5215001-06</t>
  </si>
  <si>
    <t>IN05S5218000-06</t>
  </si>
  <si>
    <t>IN05S5223000-06</t>
  </si>
  <si>
    <t>IN05S5223100-18</t>
  </si>
  <si>
    <t>IN05S5231100-18</t>
  </si>
  <si>
    <t>IN05S5234002-18</t>
  </si>
  <si>
    <t>IN05S5235100-18</t>
  </si>
  <si>
    <t>IN05S5236100-18</t>
  </si>
  <si>
    <t>IN05S5239000-06</t>
  </si>
  <si>
    <t>IN05S5239100-18</t>
  </si>
  <si>
    <t>IN05S5239101-14</t>
  </si>
  <si>
    <t>IN05S5240100-18</t>
  </si>
  <si>
    <t>IN05S5242100-18</t>
  </si>
  <si>
    <t>IN05S5243100-18</t>
  </si>
  <si>
    <t>IN05S5244000-06</t>
  </si>
  <si>
    <t>IN05S5244100-18</t>
  </si>
  <si>
    <t>IN05S5245000-06</t>
  </si>
  <si>
    <t>IN05S5245100-18</t>
  </si>
  <si>
    <t>IN05S5246001-06</t>
  </si>
  <si>
    <t>IN05S5246100-18</t>
  </si>
  <si>
    <t>IN05S5248000-06</t>
  </si>
  <si>
    <t>IN05S5248100-18</t>
  </si>
  <si>
    <t>IN05S5250000-06</t>
  </si>
  <si>
    <t>IN05S5250100-18</t>
  </si>
  <si>
    <t>IN05S5251000-06</t>
  </si>
  <si>
    <t>IN05S5251001-14</t>
  </si>
  <si>
    <t>IN05S5251100-18</t>
  </si>
  <si>
    <t>IN05S5252100-18</t>
  </si>
  <si>
    <t>IN05S5254100-18</t>
  </si>
  <si>
    <t>IN05S5256000-06</t>
  </si>
  <si>
    <t>IN05S5256100-18</t>
  </si>
  <si>
    <t>IN05S5256101-18</t>
  </si>
  <si>
    <t>IN05S5257100-18</t>
  </si>
  <si>
    <t>IN05S5258000-06</t>
  </si>
  <si>
    <t>IN05S5258100-18</t>
  </si>
  <si>
    <t>IN05S5262000-18</t>
  </si>
  <si>
    <t>IN05S5264000-18</t>
  </si>
  <si>
    <t>IN05S5266000-18</t>
  </si>
  <si>
    <t>IN05S5268001-14</t>
  </si>
  <si>
    <t>IN05S5275101-18</t>
  </si>
  <si>
    <t>IN05S5400000-06</t>
  </si>
  <si>
    <t>IN05S5400001-10</t>
  </si>
  <si>
    <t>IN05S5410001-18</t>
  </si>
  <si>
    <t>IN05S5410002-18</t>
  </si>
  <si>
    <t>IN05S5600001-06</t>
  </si>
  <si>
    <t>IN05S5610001-18</t>
  </si>
  <si>
    <t>IN05S6210001-18</t>
  </si>
  <si>
    <t>IN05S7010001-18</t>
  </si>
  <si>
    <t>IN05S8000001-14</t>
  </si>
  <si>
    <t>IN05S9900001-09</t>
  </si>
  <si>
    <t>IN05S9900001-12</t>
  </si>
  <si>
    <t>IN05S9900002-06</t>
  </si>
  <si>
    <t>IN05S9910001-02</t>
  </si>
  <si>
    <t>IN05S9910001-18</t>
  </si>
  <si>
    <t>IN05S9993401-09</t>
  </si>
  <si>
    <t>IN05SGS3J000-03</t>
  </si>
  <si>
    <t>IN05SGU1M000-03</t>
  </si>
  <si>
    <t>IN05SM700000-06</t>
  </si>
  <si>
    <t>IN06S0150001-13</t>
  </si>
  <si>
    <t>IN06S0316001-08</t>
  </si>
  <si>
    <t>IN06S0610001-24</t>
  </si>
  <si>
    <t>IN06S0691001-10</t>
  </si>
  <si>
    <t>IN06S0865401-46</t>
  </si>
  <si>
    <t>IN06S0951001-40</t>
  </si>
  <si>
    <t>IN06S1060201-05</t>
  </si>
  <si>
    <t>IN06S1060401-05</t>
  </si>
  <si>
    <t>IN06S1165201-23</t>
  </si>
  <si>
    <t>IN06S1170201-23</t>
  </si>
  <si>
    <t>IN06S1270001-07</t>
  </si>
  <si>
    <t>IN06S1360201-05</t>
  </si>
  <si>
    <t>IN06S1465401-46</t>
  </si>
  <si>
    <t>IN06S1660201-05</t>
  </si>
  <si>
    <t>IN06S2222001-10</t>
  </si>
  <si>
    <t>IN06S2222001-24</t>
  </si>
  <si>
    <t>IN06S2222001-33</t>
  </si>
  <si>
    <t>IN06S2700201-13</t>
  </si>
  <si>
    <t>IN06S2700201-24</t>
  </si>
  <si>
    <t>IN06S2907001-10</t>
  </si>
  <si>
    <t>IN06S2907001-24</t>
  </si>
  <si>
    <t>IN06S2907001-33</t>
  </si>
  <si>
    <t>IN06S3000001-05</t>
  </si>
  <si>
    <t>IN06S3607001-42</t>
  </si>
  <si>
    <t>IN06S3904001-24</t>
  </si>
  <si>
    <t>IN06S3904301-02</t>
  </si>
  <si>
    <t>IN06S3906001-24</t>
  </si>
  <si>
    <t>IN06S4161301-04</t>
  </si>
  <si>
    <t>IN06S4803001-04</t>
  </si>
  <si>
    <t>IN06S4930001-13</t>
  </si>
  <si>
    <t>IN06S5313101-24</t>
  </si>
  <si>
    <t>IN06S5401001-33</t>
  </si>
  <si>
    <t>IN06S5401101-02</t>
  </si>
  <si>
    <t>IN06S5506501-42</t>
  </si>
  <si>
    <t>IN06S5551100-24</t>
  </si>
  <si>
    <t>IN06S5616000-10</t>
  </si>
  <si>
    <t>IN06S5616001-20</t>
  </si>
  <si>
    <t>IN06S5616003-33</t>
  </si>
  <si>
    <t>IN06S6015001-07</t>
  </si>
  <si>
    <t>IN06S6036001-07</t>
  </si>
  <si>
    <t>IN06S6055001-40</t>
  </si>
  <si>
    <t>IN06S6065001-07</t>
  </si>
  <si>
    <t>IN06S6072001-11</t>
  </si>
  <si>
    <t>IN06S6955001-05</t>
  </si>
  <si>
    <t>IN06S7002001-10</t>
  </si>
  <si>
    <t>IN06S7036001-07</t>
  </si>
  <si>
    <t>IN06S7042001-23</t>
  </si>
  <si>
    <t>IN06S7652002-23</t>
  </si>
  <si>
    <t>IN06S7702001-23</t>
  </si>
  <si>
    <t>IN06S8045701-07</t>
  </si>
  <si>
    <t>IN06S8045702-07</t>
  </si>
  <si>
    <t>IN06S8072501-24</t>
  </si>
  <si>
    <t>IN06S8074001-02</t>
  </si>
  <si>
    <t>IN06S8074002-10</t>
  </si>
  <si>
    <t>IN06S8171201-10</t>
  </si>
  <si>
    <t>IN06S8172501-24</t>
  </si>
  <si>
    <t>IN06S8172502-24</t>
  </si>
  <si>
    <t>IN06S8461001-24</t>
  </si>
  <si>
    <t>IN06S8471001-02</t>
  </si>
  <si>
    <t>IN06S8471002-24</t>
  </si>
  <si>
    <t>IN06S8477001-13</t>
  </si>
  <si>
    <t>IN06S8570001-24</t>
  </si>
  <si>
    <t>IN06S8571001-24</t>
  </si>
  <si>
    <t>IN06S8571101-24</t>
  </si>
  <si>
    <t>IN07A4853000-07</t>
  </si>
  <si>
    <t>IN07A6562000-05</t>
  </si>
  <si>
    <t>IN07C1019000-10</t>
  </si>
  <si>
    <t>IN07C8170001-12</t>
  </si>
  <si>
    <t>IN07C8170003-10</t>
  </si>
  <si>
    <t>IN07G2904000-07</t>
  </si>
  <si>
    <t>IN07M1030000-05</t>
  </si>
  <si>
    <t>IN07M3211000-01</t>
  </si>
  <si>
    <t>IN07M4310000-01</t>
  </si>
  <si>
    <t>IN07P1700000-05</t>
  </si>
  <si>
    <t>IN07R4310001-01</t>
  </si>
  <si>
    <t>IN07S0080001-65</t>
  </si>
  <si>
    <t>IN07S1001001-35</t>
  </si>
  <si>
    <t>IN07S1003101-12</t>
  </si>
  <si>
    <t>IN07S1009101-12</t>
  </si>
  <si>
    <t>IN07S1301001-04</t>
  </si>
  <si>
    <t>IN07S1399201-02</t>
  </si>
  <si>
    <t>IN07S1611001-02</t>
  </si>
  <si>
    <t>IN07S2116701-15</t>
  </si>
  <si>
    <t>IN07S2416601-05</t>
  </si>
  <si>
    <t>IN07S2416802-05</t>
  </si>
  <si>
    <t>IN07S2516601-05</t>
  </si>
  <si>
    <t>IN07S2516802-05</t>
  </si>
  <si>
    <t>IN07S2771201-07</t>
  </si>
  <si>
    <t>IN07S2801201-02</t>
  </si>
  <si>
    <t>IN07S2903300-07</t>
  </si>
  <si>
    <t>IN07S3008201-02</t>
  </si>
  <si>
    <t>IN07S3011801-02</t>
  </si>
  <si>
    <t>IN07S3018601-02</t>
  </si>
  <si>
    <t>IN07S3177701-46</t>
  </si>
  <si>
    <t>IN07S3203101-05</t>
  </si>
  <si>
    <t>IN07S3210001-05</t>
  </si>
  <si>
    <t>IN07S3210001-49</t>
  </si>
  <si>
    <t>IN07S3310001-05</t>
  </si>
  <si>
    <t>IN07S3310001-07</t>
  </si>
  <si>
    <t>IN07S3560001-12</t>
  </si>
  <si>
    <t>IN07S3627001-48</t>
  </si>
  <si>
    <t>IN07S3700001-10</t>
  </si>
  <si>
    <t>IN07S3930001-49</t>
  </si>
  <si>
    <t>IN07S4310001-07</t>
  </si>
  <si>
    <t>IN07S4310001-12</t>
  </si>
  <si>
    <t>IN07S4311001-02</t>
  </si>
  <si>
    <t>IN07S4311001-55</t>
  </si>
  <si>
    <t>IN07S4311002-55</t>
  </si>
  <si>
    <t>IN07S4320001-12</t>
  </si>
  <si>
    <t>IN07S4321001-55</t>
  </si>
  <si>
    <t>IN07S5190001-50</t>
  </si>
  <si>
    <t>IN07S6375302-55</t>
  </si>
  <si>
    <t>IN07S6924001-35</t>
  </si>
  <si>
    <t>IN07S6924002-35</t>
  </si>
  <si>
    <t>IN07S7252101-49</t>
  </si>
  <si>
    <t>IN07S7380001-02</t>
  </si>
  <si>
    <t>IN07S7600301-50</t>
  </si>
  <si>
    <t>IN07S8312001-29</t>
  </si>
  <si>
    <t>IN07S8851001-05</t>
  </si>
  <si>
    <t>IN07S8900301-54</t>
  </si>
  <si>
    <t>IN07S9001001-07</t>
  </si>
  <si>
    <t>IN07S9920001-02</t>
  </si>
  <si>
    <t>IN07Z3203111-05</t>
  </si>
  <si>
    <t>IN07Z5190003-50</t>
  </si>
  <si>
    <t>IN07Z5190162-50</t>
  </si>
  <si>
    <t>IN07Z8900314-54</t>
  </si>
  <si>
    <t>IN08E2017A28206</t>
  </si>
  <si>
    <t>IN09S0023722000</t>
  </si>
  <si>
    <t>IN09S0301754000</t>
  </si>
  <si>
    <t>IN134042-00</t>
  </si>
  <si>
    <t>IN134044-00</t>
  </si>
  <si>
    <t>IN134045-00</t>
  </si>
  <si>
    <t>IN134046-00</t>
  </si>
  <si>
    <t>IN134047-00</t>
  </si>
  <si>
    <t>IN134048-00</t>
  </si>
  <si>
    <t>IN13J0000044000</t>
  </si>
  <si>
    <t>IN13J0000044100</t>
  </si>
  <si>
    <t>IN13J0000050300</t>
  </si>
  <si>
    <t>IN13J0000053300</t>
  </si>
  <si>
    <t>IN13J0000053400</t>
  </si>
  <si>
    <t>IN13J0000057300</t>
  </si>
  <si>
    <t>IN13J0000098-00</t>
  </si>
  <si>
    <t>IN13J0100002000</t>
  </si>
  <si>
    <t>IN13J0500004-00</t>
  </si>
  <si>
    <t>IN13J2400009-00</t>
  </si>
  <si>
    <t>IN13M0500003100</t>
  </si>
  <si>
    <t>IN13M0600010000</t>
  </si>
  <si>
    <t>IN13M0700019200</t>
  </si>
  <si>
    <t>IN13M0700019300</t>
  </si>
  <si>
    <t>IN13M0700025300</t>
  </si>
  <si>
    <t>IN13M0700026-00</t>
  </si>
  <si>
    <t>IN13M0700028000</t>
  </si>
  <si>
    <t>IN13M0700028100</t>
  </si>
  <si>
    <t>IN13M0700040-00</t>
  </si>
  <si>
    <t>IN13M1000003100</t>
  </si>
  <si>
    <t>IN13M1000004700</t>
  </si>
  <si>
    <t>IN13M1000006-00</t>
  </si>
  <si>
    <t>IN13M1000007000</t>
  </si>
  <si>
    <t>IN13M1000013-00</t>
  </si>
  <si>
    <t>IN13M1500037400</t>
  </si>
  <si>
    <t>IN13M1500043100</t>
  </si>
  <si>
    <t>IN13M1500044000</t>
  </si>
  <si>
    <t>IN13M1500044100</t>
  </si>
  <si>
    <t>IN13M1500044200</t>
  </si>
  <si>
    <t>IN13M1500051500</t>
  </si>
  <si>
    <t>IN13M1500052200</t>
  </si>
  <si>
    <t>IN13M1500052400</t>
  </si>
  <si>
    <t>IN13M1500052500</t>
  </si>
  <si>
    <t>IN13M1500054100</t>
  </si>
  <si>
    <t>IN13M1500056000</t>
  </si>
  <si>
    <t>IN13M1500056100</t>
  </si>
  <si>
    <t>IN13M1500076-00</t>
  </si>
  <si>
    <t>IN13M1500078-00</t>
  </si>
  <si>
    <t>IN13M1500079-00</t>
  </si>
  <si>
    <t>IN13M1500080-00</t>
  </si>
  <si>
    <t>IN13M2000026400</t>
  </si>
  <si>
    <t>IN13M2000026500</t>
  </si>
  <si>
    <t>IN13M2000027400</t>
  </si>
  <si>
    <t>IN13M2000027500</t>
  </si>
  <si>
    <t>IN13M2000027600</t>
  </si>
  <si>
    <t>IN13M2000031000</t>
  </si>
  <si>
    <t>IN13M2000031100</t>
  </si>
  <si>
    <t>IN13M2000032000</t>
  </si>
  <si>
    <t>IN13M2000032100</t>
  </si>
  <si>
    <t>IN13M2000034-00</t>
  </si>
  <si>
    <t>IN13M2000035-00</t>
  </si>
  <si>
    <t>IN13M2000047000</t>
  </si>
  <si>
    <t>IN13M2000047200</t>
  </si>
  <si>
    <t>IN13M2000048-00</t>
  </si>
  <si>
    <t>IN13M2000048100</t>
  </si>
  <si>
    <t>IN13M2000048200</t>
  </si>
  <si>
    <t>IN13M2000053-00</t>
  </si>
  <si>
    <t>IN13M2000059-00</t>
  </si>
  <si>
    <t>IN13M2400022700</t>
  </si>
  <si>
    <t>IN13M2400022800</t>
  </si>
  <si>
    <t>IN13M2400022900</t>
  </si>
  <si>
    <t>IN13M2400023500</t>
  </si>
  <si>
    <t>IN13M2400023600</t>
  </si>
  <si>
    <t>IN13M2400023700</t>
  </si>
  <si>
    <t>IN13M2400026200</t>
  </si>
  <si>
    <t>IN13M2400047-00</t>
  </si>
  <si>
    <t>IN13M2400048-00</t>
  </si>
  <si>
    <t>IN13M2500002000</t>
  </si>
  <si>
    <t>IN13M2500002100</t>
  </si>
  <si>
    <t>IN13M3000008400</t>
  </si>
  <si>
    <t>IN13M3000026100</t>
  </si>
  <si>
    <t>IN1913311001-00</t>
  </si>
  <si>
    <t>IN19A3900001-00</t>
  </si>
  <si>
    <t>IN19Y3611001-00</t>
  </si>
  <si>
    <t>IN25A2540401-00</t>
  </si>
  <si>
    <t>IN25A2540801-00</t>
  </si>
  <si>
    <t>IN25A2540803-00</t>
  </si>
  <si>
    <t>IN25A2541702-00</t>
  </si>
  <si>
    <t>IN25S2540802-00</t>
  </si>
  <si>
    <t>INP00001970</t>
  </si>
  <si>
    <t>MELCA0736X1CBLK</t>
  </si>
  <si>
    <t>MELCA1436X1CBLK</t>
  </si>
  <si>
    <t>MELCA1436X1CRED</t>
  </si>
  <si>
    <t>MELCAHSH03MM</t>
  </si>
  <si>
    <t>MELCAPSL015YLW</t>
  </si>
  <si>
    <t>MELCATF1436X1CGRN</t>
  </si>
  <si>
    <t>MELCATF19/25CBLU</t>
  </si>
  <si>
    <t>MELPSSCW03B15</t>
  </si>
  <si>
    <t>MELPSSCW05B05</t>
  </si>
  <si>
    <t>MHWMCSH0M524016</t>
  </si>
  <si>
    <t>MHWNTHA004MM</t>
  </si>
  <si>
    <t>MHWNTHH003MM</t>
  </si>
  <si>
    <t>MHWSCSKBL03MX006MM</t>
  </si>
  <si>
    <t>MHWSLCC03MX012MM</t>
  </si>
  <si>
    <t>MHWSLCC04MX012MM</t>
  </si>
  <si>
    <t>MHWSPM03MX010M</t>
  </si>
  <si>
    <t>MHWSPM03MX012MM</t>
  </si>
  <si>
    <t>MHWSTM23X06MM15MM</t>
  </si>
  <si>
    <t>MHWWFA004MM</t>
  </si>
  <si>
    <t>MHWWFM003MM</t>
  </si>
  <si>
    <t>MHWWFN002MM</t>
  </si>
  <si>
    <t>MHWWTN001MM</t>
  </si>
  <si>
    <t>MX2ED020I12FIXUMA1</t>
  </si>
  <si>
    <t>MX6ED003L06F2XUMA1</t>
  </si>
  <si>
    <t>MXACMICA240X16</t>
  </si>
  <si>
    <t>MXACSTUDZN3X06</t>
  </si>
  <si>
    <t>MXACSTUDZN3X5</t>
  </si>
  <si>
    <t>MXBCR533E6327HTSA1</t>
  </si>
  <si>
    <t>MXBDIND239589</t>
  </si>
  <si>
    <t>MXCA0200A000B15B01</t>
  </si>
  <si>
    <t>MXCA0603SMD0MF1V50</t>
  </si>
  <si>
    <t>MXCA0603SMD1000PF</t>
  </si>
  <si>
    <t>MXCA0603SMD100NF</t>
  </si>
  <si>
    <t>MXCA0603SMD100PF</t>
  </si>
  <si>
    <t>MXCA0603SMD10NFV50</t>
  </si>
  <si>
    <t>MXCA0603SMD1NFV50</t>
  </si>
  <si>
    <t>MXCA0603SMD2200PF</t>
  </si>
  <si>
    <t>MXCA0603SMD220PF</t>
  </si>
  <si>
    <t>MXCA0603SMD22PF</t>
  </si>
  <si>
    <t>MXCA0603SMD2M2F</t>
  </si>
  <si>
    <t>MXCA0603SMD330PF</t>
  </si>
  <si>
    <t>MXCA0603SMD33PFV50</t>
  </si>
  <si>
    <t>MXCA0603SMD3N9F</t>
  </si>
  <si>
    <t>MXCA0603SMD47NFV50</t>
  </si>
  <si>
    <t>MXCA0603SMD47PF</t>
  </si>
  <si>
    <t>MXCA0603SMDM22FV63</t>
  </si>
  <si>
    <t>MXCA0805SMD0MF1V50</t>
  </si>
  <si>
    <t>MXCA0805SMD1000PF</t>
  </si>
  <si>
    <t>MXCA0805SMD100PF</t>
  </si>
  <si>
    <t>MXCA0805SMD10NFV50</t>
  </si>
  <si>
    <t>MXCA0805SMD150PF</t>
  </si>
  <si>
    <t>MXCA0805SMD1MF50V</t>
  </si>
  <si>
    <t>MXCA0805SMD220NF</t>
  </si>
  <si>
    <t>MXCA0805SMD22PFV25</t>
  </si>
  <si>
    <t>MXCA0805SMD2M2F50V</t>
  </si>
  <si>
    <t>MXCA0805SMD330PF</t>
  </si>
  <si>
    <t>MXCA0805SMD470PF</t>
  </si>
  <si>
    <t>MXCA0805SMD47NF</t>
  </si>
  <si>
    <t>MXCA0805SMD47PF</t>
  </si>
  <si>
    <t>MXCA0805SMD4M7F50V</t>
  </si>
  <si>
    <t>MXCA1206SMD0MF1V25</t>
  </si>
  <si>
    <t>MXCA1206SMD0MF1V50</t>
  </si>
  <si>
    <t>MXCA1206SMD10NFV63</t>
  </si>
  <si>
    <t>MXCA1206SMD10UF16V</t>
  </si>
  <si>
    <t>MXCA1206SMD2MF2</t>
  </si>
  <si>
    <t>MXCA1206SMD560PF</t>
  </si>
  <si>
    <t>MXCA1206SMD82PF</t>
  </si>
  <si>
    <t>MXCA2P820MFV400</t>
  </si>
  <si>
    <t>MXCACERA2200PFV250</t>
  </si>
  <si>
    <t>MXCACERA560PFV50</t>
  </si>
  <si>
    <t>MXCACERA82PF</t>
  </si>
  <si>
    <t>MXCADISC100NF630V</t>
  </si>
  <si>
    <t>MXCADISC100PFV50</t>
  </si>
  <si>
    <t>MXCADISC1031KV</t>
  </si>
  <si>
    <t>MXCADISC22PF50V</t>
  </si>
  <si>
    <t>MXCAELRA100MFV25</t>
  </si>
  <si>
    <t>MXCAELRA100MFV50</t>
  </si>
  <si>
    <t>MXCAELRA10MFV450</t>
  </si>
  <si>
    <t>MXCAELRA10MFV63</t>
  </si>
  <si>
    <t>MXCAELRA1KMFV250</t>
  </si>
  <si>
    <t>MXCAELRA220MFV50</t>
  </si>
  <si>
    <t>MXCAELRA2M2FV450</t>
  </si>
  <si>
    <t>MXCAELRA3300MFV10</t>
  </si>
  <si>
    <t>MXCAELRA470MFV25</t>
  </si>
  <si>
    <t>MXCAELRA470MFV50</t>
  </si>
  <si>
    <t>MXCAELRA47MFV50</t>
  </si>
  <si>
    <t>MXCAELRA4MF7V250</t>
  </si>
  <si>
    <t>MXCALEDBASE</t>
  </si>
  <si>
    <t>MXCAMOV385V20</t>
  </si>
  <si>
    <t>MXCAMYLAR104V50</t>
  </si>
  <si>
    <t>MXCAPCYL0MF22V1K</t>
  </si>
  <si>
    <t>MXCAPL0MF22V1000</t>
  </si>
  <si>
    <t>MXCAPL0MF68V63</t>
  </si>
  <si>
    <t>MXCAPLB100NFV63</t>
  </si>
  <si>
    <t>MXCAPLB10NFV100</t>
  </si>
  <si>
    <t>MXCAPLB10NFV63</t>
  </si>
  <si>
    <t>MXCAPLB220NFV63</t>
  </si>
  <si>
    <t>MXCAPLB4NF7V63</t>
  </si>
  <si>
    <t>MXCAPLX20MF33V275</t>
  </si>
  <si>
    <t>MXCAPSMD47MF50V</t>
  </si>
  <si>
    <t>MXCAS1206VC1H220</t>
  </si>
  <si>
    <t>MXCASMD100NF050V</t>
  </si>
  <si>
    <t>MXCASMDECJ2VB1H222</t>
  </si>
  <si>
    <t>MXCASMDECJ2VC1H220</t>
  </si>
  <si>
    <t>MXCATL10MFV35</t>
  </si>
  <si>
    <t>MXCATL22MFV35</t>
  </si>
  <si>
    <t>MXCATLSMD10MFV25</t>
  </si>
  <si>
    <t>MXCATLSMD10MFV35C</t>
  </si>
  <si>
    <t>MXCATLSMD2M2FV35C</t>
  </si>
  <si>
    <t>MXCATLSMD4M7FV35C</t>
  </si>
  <si>
    <t>MXCATLSMD4M7FV35D</t>
  </si>
  <si>
    <t>MXCATRNBASE</t>
  </si>
  <si>
    <t>MXCBAEXANTCI667R0</t>
  </si>
  <si>
    <t>MXCCRYSTALBASE</t>
  </si>
  <si>
    <t>MXCFACIALPLATE</t>
  </si>
  <si>
    <t>MXCHEXNUT</t>
  </si>
  <si>
    <t>MXCHEXNUTM3</t>
  </si>
  <si>
    <t>MXCHEXST3MMX30 MM</t>
  </si>
  <si>
    <t>MXCN3PINNANOHDR</t>
  </si>
  <si>
    <t>MXCN4PINNANOHDR</t>
  </si>
  <si>
    <t>MXCN6PINNANOHDR</t>
  </si>
  <si>
    <t>MXCN6PINTERMPCBM5</t>
  </si>
  <si>
    <t>MXCN7PINNANOHDR</t>
  </si>
  <si>
    <t>MXCN8PINNANOHDR</t>
  </si>
  <si>
    <t>MXCNBH8X2MALE</t>
  </si>
  <si>
    <t>MXCNBHR2MM10P</t>
  </si>
  <si>
    <t>MXCNBS40X1M10ST</t>
  </si>
  <si>
    <t>MXCNBS40X1S10MM2MM</t>
  </si>
  <si>
    <t>MXCNBS40X2F10ST</t>
  </si>
  <si>
    <t>MXCNBS40X2M10ST</t>
  </si>
  <si>
    <t>MXCNBS40X2M25ST</t>
  </si>
  <si>
    <t>MXCNBS40X2M40ST</t>
  </si>
  <si>
    <t>MXCNDRA09PFPCB</t>
  </si>
  <si>
    <t>MXCNDRA09PMPCB</t>
  </si>
  <si>
    <t>MXCNDRA15PFVGA</t>
  </si>
  <si>
    <t>MXCNDRA25PMPCB</t>
  </si>
  <si>
    <t>MXCNDRA37PMPCB</t>
  </si>
  <si>
    <t>MXCNDST09PMSOL</t>
  </si>
  <si>
    <t>MXCNDST15PFSOL</t>
  </si>
  <si>
    <t>MXCNDST15PFVGA</t>
  </si>
  <si>
    <t>MXCNDST37PFPCB</t>
  </si>
  <si>
    <t>MXCNDST37PMPCB</t>
  </si>
  <si>
    <t>MXCNDT-66-B01W-02</t>
  </si>
  <si>
    <t>MXCNETHERNETMGJACK</t>
  </si>
  <si>
    <t>MXCNLANSOK6PINRJ11</t>
  </si>
  <si>
    <t>MXCNRA12PSMALE</t>
  </si>
  <si>
    <t>MXCNRA15SFPCB</t>
  </si>
  <si>
    <t>MXCNRA2PM7MM61PX</t>
  </si>
  <si>
    <t>MXCNRA4PM3MM81PX</t>
  </si>
  <si>
    <t>MXCNRA4PM7MM61PX</t>
  </si>
  <si>
    <t>MXCNRAML5P3MM81</t>
  </si>
  <si>
    <t>MXCNRJ45METAL</t>
  </si>
  <si>
    <t>MXCNRMCMST900102CS</t>
  </si>
  <si>
    <t>MXCNRMCMSTB4BXHA4P</t>
  </si>
  <si>
    <t>MXCNRXHB10BXHALFSN</t>
  </si>
  <si>
    <t>MXCNRXHB7BXHALFSN</t>
  </si>
  <si>
    <t>MXCNST02PGREEN</t>
  </si>
  <si>
    <t>MXCNST02PPH7MM5</t>
  </si>
  <si>
    <t>MXCNST03PPH7MM5</t>
  </si>
  <si>
    <t>MXCNST34PMFRC</t>
  </si>
  <si>
    <t>MXCNWAGO18X2P</t>
  </si>
  <si>
    <t>MXCPURPOSEPCB</t>
  </si>
  <si>
    <t>MXCR10MHZ</t>
  </si>
  <si>
    <t>MXCR16MHZ</t>
  </si>
  <si>
    <t>MXCR25MHZ</t>
  </si>
  <si>
    <t>MXCR8871032ND</t>
  </si>
  <si>
    <t>MXCR8MHZ05</t>
  </si>
  <si>
    <t>MXCRSCREW2MMX10MM</t>
  </si>
  <si>
    <t>MXCRYBASE10X4X2MM</t>
  </si>
  <si>
    <t>MXCSLEEVELED</t>
  </si>
  <si>
    <t>MXCSTUDM3X32</t>
  </si>
  <si>
    <t>MXDCAFCP5002R00</t>
  </si>
  <si>
    <t>MXDCAFCP5005AR00</t>
  </si>
  <si>
    <t>MXDCAFCP5009AR00</t>
  </si>
  <si>
    <t>MXDCAHSP2601AR00</t>
  </si>
  <si>
    <t>MXDCAPCBCAN2601R01</t>
  </si>
  <si>
    <t>MXDCAPCBEIO2701R00</t>
  </si>
  <si>
    <t>MXDCAPCBLSMHLPLGIN</t>
  </si>
  <si>
    <t>MXDCAPCBMPL7012R00</t>
  </si>
  <si>
    <t>MXDCAPCBPLC5005R00</t>
  </si>
  <si>
    <t>MXDCMSQA03</t>
  </si>
  <si>
    <t>MXDDCB0505LS1WR2</t>
  </si>
  <si>
    <t>MXDDCVRA2415ZP-6WR</t>
  </si>
  <si>
    <t>MXDDCVRB2405ZP-6WR</t>
  </si>
  <si>
    <t>MXDDCVWRB2415ZP3W</t>
  </si>
  <si>
    <t>MXDHTSNPL180X20X3</t>
  </si>
  <si>
    <t>MXDI1N4007</t>
  </si>
  <si>
    <t>MXDI1N4148</t>
  </si>
  <si>
    <t>MXDI40VRB751V40T1G</t>
  </si>
  <si>
    <t>MXDIB160</t>
  </si>
  <si>
    <t>MXDIES1B</t>
  </si>
  <si>
    <t>MXDIES2D</t>
  </si>
  <si>
    <t>MXDILL103AGS08</t>
  </si>
  <si>
    <t>MXDIMURS120</t>
  </si>
  <si>
    <t>MXDIODE1N4937GP</t>
  </si>
  <si>
    <t>MXDIODEBZX79B3V9</t>
  </si>
  <si>
    <t>MXDIODEES1JLTP</t>
  </si>
  <si>
    <t>MXDIODEP6KE200A</t>
  </si>
  <si>
    <t>MXDIODESB540</t>
  </si>
  <si>
    <t>MXDIODESIREHURF296</t>
  </si>
  <si>
    <t>MXDIODESMLVT3V3</t>
  </si>
  <si>
    <t>MXDIP6KE150A</t>
  </si>
  <si>
    <t>MXDIP6KE150CA</t>
  </si>
  <si>
    <t>MXDIP6KE440CA</t>
  </si>
  <si>
    <t>MXDIPMEG10020AELP</t>
  </si>
  <si>
    <t>MXDIPMEG3050EP</t>
  </si>
  <si>
    <t>MXDISCHBAT54SSOT23</t>
  </si>
  <si>
    <t>MXDISD2012P</t>
  </si>
  <si>
    <t>MXDISMD1N4007</t>
  </si>
  <si>
    <t>MXDISMD1N4148</t>
  </si>
  <si>
    <t>MXDISMDFSV530AF</t>
  </si>
  <si>
    <t>MXDIUF4003</t>
  </si>
  <si>
    <t>MXDIVS20ETS08FPPBF</t>
  </si>
  <si>
    <t>MXDIZE0W52V7SMD</t>
  </si>
  <si>
    <t>MXDIZE1W12V</t>
  </si>
  <si>
    <t>MXDIZE1W12VSMD</t>
  </si>
  <si>
    <t>MXDIZE1W5V1</t>
  </si>
  <si>
    <t>MXDIZEBZV55C3V3115</t>
  </si>
  <si>
    <t>MXDIZNMMSZ3V9T1G</t>
  </si>
  <si>
    <t>MXDIZSMAZ16TP16V1W</t>
  </si>
  <si>
    <t>MXDPCB24VCPU5117B</t>
  </si>
  <si>
    <t>MXDPCB24VPWR2808A </t>
  </si>
  <si>
    <t>MXDPCBASR5254CR00</t>
  </si>
  <si>
    <t>MXDPCBEPSD5535R01</t>
  </si>
  <si>
    <t>MXDPCBMPLC7011CR00</t>
  </si>
  <si>
    <t>MXDPCBPLC5002CR00</t>
  </si>
  <si>
    <t>MXDPCBPLC5009CR00</t>
  </si>
  <si>
    <t>MXDPCBSOLAR5604F</t>
  </si>
  <si>
    <t>MXDPCBSOLAR5613A </t>
  </si>
  <si>
    <t>MXFUSEV14MLA0402NR</t>
  </si>
  <si>
    <t>MXFUSEV14MLA0603NH</t>
  </si>
  <si>
    <t>MXIBLM21PG221SN1D</t>
  </si>
  <si>
    <t>MXIC24LC64T</t>
  </si>
  <si>
    <t>MXIC74HC1G14</t>
  </si>
  <si>
    <t>MXICAD2S1205YSTZ</t>
  </si>
  <si>
    <t>MXICDIP25LC640</t>
  </si>
  <si>
    <t>MXICDIP4N25</t>
  </si>
  <si>
    <t>MXICDIP4N35</t>
  </si>
  <si>
    <t>MXICDIP74LS07</t>
  </si>
  <si>
    <t>MXICDIPADG508</t>
  </si>
  <si>
    <t>MXICDIPHCPL2631</t>
  </si>
  <si>
    <t>MXICDIPLF347</t>
  </si>
  <si>
    <t>MXICDIPMCP2510</t>
  </si>
  <si>
    <t>MXICDIPOP07</t>
  </si>
  <si>
    <t>MXICDIPPS2501-1</t>
  </si>
  <si>
    <t>MXICDIPPS25012</t>
  </si>
  <si>
    <t>MXICDIPRCV420</t>
  </si>
  <si>
    <t>MXICDIPTNY290PG</t>
  </si>
  <si>
    <t>MXICFAN3180TSX</t>
  </si>
  <si>
    <t>MXICHCPL316</t>
  </si>
  <si>
    <t>MXICKF33BDT</t>
  </si>
  <si>
    <t>MXICLM2574-5.0</t>
  </si>
  <si>
    <t>MXICLM285BYZ25NOPB</t>
  </si>
  <si>
    <t>MXICLM3362V5</t>
  </si>
  <si>
    <t>MXICLM393SMD</t>
  </si>
  <si>
    <t>MXICLTC1605CSW</t>
  </si>
  <si>
    <t>MXICLTV-817</t>
  </si>
  <si>
    <t>MXICMAX3232CDR  </t>
  </si>
  <si>
    <t>MXICMAX3232IDR</t>
  </si>
  <si>
    <t>MXICMCP6566T</t>
  </si>
  <si>
    <t>MXICMCP6L91T</t>
  </si>
  <si>
    <t>MXICPIC16F886</t>
  </si>
  <si>
    <t>MXICPIC18F97J60IPT</t>
  </si>
  <si>
    <t>MXICS7805PITO220F</t>
  </si>
  <si>
    <t>MXICSMD26LS31</t>
  </si>
  <si>
    <t>MXICSMD26LS32</t>
  </si>
  <si>
    <t>MXICSMD555NE</t>
  </si>
  <si>
    <t>MXICSMD74HCT14</t>
  </si>
  <si>
    <t>MXICSMD74HCT245</t>
  </si>
  <si>
    <t>MXICSMD74LS138</t>
  </si>
  <si>
    <t>MXICSMD74LS240</t>
  </si>
  <si>
    <t>MXICSMD74LS245</t>
  </si>
  <si>
    <t>MXICSMD74LS273</t>
  </si>
  <si>
    <t>MXICSMD74LS32</t>
  </si>
  <si>
    <t>MXICSMD74LVT245</t>
  </si>
  <si>
    <t>MXICSMDDS26LV32ATM</t>
  </si>
  <si>
    <t>MXICSMDLM124</t>
  </si>
  <si>
    <t>MXICSMDLM158DT</t>
  </si>
  <si>
    <t>MXICSMDLM258</t>
  </si>
  <si>
    <t>MXICSMDLM324</t>
  </si>
  <si>
    <t>MXICSMDLMC555CMX</t>
  </si>
  <si>
    <t>MXICSMDMAX232</t>
  </si>
  <si>
    <t>MXICSMDMCP2551</t>
  </si>
  <si>
    <t>MXICSOCKET14P</t>
  </si>
  <si>
    <t>MXICSOCKET16P</t>
  </si>
  <si>
    <t>MXICSOCKET28P3</t>
  </si>
  <si>
    <t>MXICSOCKET40P</t>
  </si>
  <si>
    <t>MXICSOCKET8P</t>
  </si>
  <si>
    <t>MXICSOCKETPLC44P</t>
  </si>
  <si>
    <t>MXICTLP627CH1</t>
  </si>
  <si>
    <t>MXICTMS320LF2407</t>
  </si>
  <si>
    <t>MXICTPS7333QD</t>
  </si>
  <si>
    <t>MXICXC3S50AN-4TQG</t>
  </si>
  <si>
    <t>MXICXC3S50AN4TQG</t>
  </si>
  <si>
    <t>MXIGBTGAN40N120FDR</t>
  </si>
  <si>
    <t>MXIGBTTGPF20N60FD </t>
  </si>
  <si>
    <t>MXIMC74HC1G14DTT1</t>
  </si>
  <si>
    <t>MXIND1MH300MA-2</t>
  </si>
  <si>
    <t>MXIND3UH3</t>
  </si>
  <si>
    <t>MXIND3UH3SMD</t>
  </si>
  <si>
    <t>MXIND470UH500MA</t>
  </si>
  <si>
    <t>MXINDBKP2125HS600T</t>
  </si>
  <si>
    <t>MXINDBLM18PG600SN</t>
  </si>
  <si>
    <t>MXITMS320F28021PTT</t>
  </si>
  <si>
    <t>MXITMS320F28027PTT</t>
  </si>
  <si>
    <t>MXITMS320F28031PNT</t>
  </si>
  <si>
    <t>MXJUMLINK06X025MM</t>
  </si>
  <si>
    <t>MXLED0805SMDRED</t>
  </si>
  <si>
    <t>MXLED3MMGREEN</t>
  </si>
  <si>
    <t>MXLED3MMRED</t>
  </si>
  <si>
    <t>MXLED3MMYELLOW</t>
  </si>
  <si>
    <t>MXLED5MMGREEN</t>
  </si>
  <si>
    <t>MXLED5MMRED</t>
  </si>
  <si>
    <t>MXLED5MMYELLOW</t>
  </si>
  <si>
    <t>MXLEDBI3MMREDGRN</t>
  </si>
  <si>
    <t>MXLEDSMD1206RED</t>
  </si>
  <si>
    <t>MXLEDSPACER3MM</t>
  </si>
  <si>
    <t>MXLINK2601D</t>
  </si>
  <si>
    <t>MXLM1117MPX3V3NOPB</t>
  </si>
  <si>
    <t>MXLM3670MF-1V2NOPB</t>
  </si>
  <si>
    <t>MXLM3670MF1V2NOPB</t>
  </si>
  <si>
    <t>MXLRE0602SMD1K</t>
  </si>
  <si>
    <t>MXMICASTTO220</t>
  </si>
  <si>
    <t>MXMLZ2012E100M</t>
  </si>
  <si>
    <t>MXMOSFETIRFP4668</t>
  </si>
  <si>
    <t>MXMOSFETSTP4NK60ZF</t>
  </si>
  <si>
    <t>MXMOSFTIRFP4468PBF</t>
  </si>
  <si>
    <t>MXMOV51020</t>
  </si>
  <si>
    <t>MXOPCTLP127</t>
  </si>
  <si>
    <t>MXOPCTLP184</t>
  </si>
  <si>
    <t>MXOPEL3H7</t>
  </si>
  <si>
    <t>MXOPISO1050</t>
  </si>
  <si>
    <t>MXPCBDOTMATRIX</t>
  </si>
  <si>
    <t>MXPCBSLPMDC5605FR0</t>
  </si>
  <si>
    <t>MXRCTUF4007</t>
  </si>
  <si>
    <t>MXRE0603SMD0R</t>
  </si>
  <si>
    <t>MXRE0603SMD100E</t>
  </si>
  <si>
    <t>MXRE0603SMD100K</t>
  </si>
  <si>
    <t>MXRE0603SMD10K</t>
  </si>
  <si>
    <t>MXRE0603SMD10R</t>
  </si>
  <si>
    <t>MXRE0603SMD120E</t>
  </si>
  <si>
    <t>MXRE0603SMD120K</t>
  </si>
  <si>
    <t>MXRE0603SMD12K</t>
  </si>
  <si>
    <t>MXRE0603SMD15K</t>
  </si>
  <si>
    <t>MXRE0603SMD180E</t>
  </si>
  <si>
    <t>MXRE0603SMD18K</t>
  </si>
  <si>
    <t>MXRE0603SMD1K</t>
  </si>
  <si>
    <t>MXRE0603SMD1K2</t>
  </si>
  <si>
    <t>MXRE0603SMD1K5</t>
  </si>
  <si>
    <t>MXRE0603SMD1M</t>
  </si>
  <si>
    <t>MXRE0603SMD220E</t>
  </si>
  <si>
    <t>MXRE0603SMD22K</t>
  </si>
  <si>
    <t>MXRE0603SMD24K</t>
  </si>
  <si>
    <t>MXRE0603SMD270R</t>
  </si>
  <si>
    <t>MXRE0603SMD2K2</t>
  </si>
  <si>
    <t>MXRE0603SMD2K4</t>
  </si>
  <si>
    <t>MXRE0603SMD2K5</t>
  </si>
  <si>
    <t>MXRE0603SMD2K7</t>
  </si>
  <si>
    <t>MXRE0603SMD2M2</t>
  </si>
  <si>
    <t>MXRE0603SMD330R</t>
  </si>
  <si>
    <t>MXRE0603SMD33K</t>
  </si>
  <si>
    <t>MXRE0603SMD33R</t>
  </si>
  <si>
    <t>MXRE0603SMD3K3</t>
  </si>
  <si>
    <t>MXRE0603SMD470E</t>
  </si>
  <si>
    <t>MXRE0603SMD47K</t>
  </si>
  <si>
    <t>MXRE0603SMD4K7</t>
  </si>
  <si>
    <t>MXRE0603SMD510E</t>
  </si>
  <si>
    <t>MXRE0603SMD560K</t>
  </si>
  <si>
    <t>MXRE0603SMD560R</t>
  </si>
  <si>
    <t>MXRE0603SMD56K</t>
  </si>
  <si>
    <t>MXRE0603SMD5K6</t>
  </si>
  <si>
    <t>MXRE0603SMD680R</t>
  </si>
  <si>
    <t>MXRE0603SMD6K8</t>
  </si>
  <si>
    <t>MXRE0603SMD820K</t>
  </si>
  <si>
    <t>MXRE0603SMD8K2</t>
  </si>
  <si>
    <t>MXRE0805SMD0E</t>
  </si>
  <si>
    <t>MXRE0805SMD100E</t>
  </si>
  <si>
    <t>MXRE0805SMD10E</t>
  </si>
  <si>
    <t>MXRE0805SMD10K</t>
  </si>
  <si>
    <t>MXRE0805SMD1K</t>
  </si>
  <si>
    <t>MXRE0805SMD1K5</t>
  </si>
  <si>
    <t>MXRE0805SMD220E</t>
  </si>
  <si>
    <t>MXRE0805SMD22K</t>
  </si>
  <si>
    <t>MXRE0805SMD24K</t>
  </si>
  <si>
    <t>MXRE0805SMD270E</t>
  </si>
  <si>
    <t>MXRE0805SMD2K2</t>
  </si>
  <si>
    <t>MXRE0805SMD2K4</t>
  </si>
  <si>
    <t>MXRE0805SMD330E</t>
  </si>
  <si>
    <t>MXRE0805SMD33K</t>
  </si>
  <si>
    <t>MXRE0805SMD3K3</t>
  </si>
  <si>
    <t>MXRE0805SMD470E</t>
  </si>
  <si>
    <t>MXRE0805SMD47K</t>
  </si>
  <si>
    <t>MXRE0805SMD4K7</t>
  </si>
  <si>
    <t>MXRE0805SMD560K</t>
  </si>
  <si>
    <t>MXRE0805SMD680E</t>
  </si>
  <si>
    <t>MXRE0805SMD6K8</t>
  </si>
  <si>
    <t>MXRE0805SMD820K</t>
  </si>
  <si>
    <t>MXRE0805SMD8K2</t>
  </si>
  <si>
    <t>MXRE1206SMD0E</t>
  </si>
  <si>
    <t>MXRE1206SMD100E</t>
  </si>
  <si>
    <t>MXRE1206SMD100K</t>
  </si>
  <si>
    <t>MXRE1206SMD10E</t>
  </si>
  <si>
    <t>MXRE1206SMD10K</t>
  </si>
  <si>
    <t>MXRE1206SMD120E</t>
  </si>
  <si>
    <t>MXRE1206SMD150E</t>
  </si>
  <si>
    <t>MXRE1206SMD16K</t>
  </si>
  <si>
    <t>MXRE1206SMD180E</t>
  </si>
  <si>
    <t>MXRE1206SMD18E</t>
  </si>
  <si>
    <t>MXRE1206SMD1K</t>
  </si>
  <si>
    <t>MXRE1206SMD1K5</t>
  </si>
  <si>
    <t>MXRE1206SMD1M</t>
  </si>
  <si>
    <t>MXRE1206SMD1M5</t>
  </si>
  <si>
    <t>MXRE1206SMD200E</t>
  </si>
  <si>
    <t>MXRE1206SMD20K</t>
  </si>
  <si>
    <t>MXRE1206SMD22E</t>
  </si>
  <si>
    <t>MXRE1206SMD2E</t>
  </si>
  <si>
    <t>MXRE1206SMD2K2</t>
  </si>
  <si>
    <t>MXRE1206SMD330E</t>
  </si>
  <si>
    <t>MXRE1206SMD33E</t>
  </si>
  <si>
    <t>MXRE1206SMD33K</t>
  </si>
  <si>
    <t>MXRE1206SMD3K</t>
  </si>
  <si>
    <t>MXRE1206SMD470E</t>
  </si>
  <si>
    <t>MXRE1206SMD470K</t>
  </si>
  <si>
    <t>MXRE1206SMD47K</t>
  </si>
  <si>
    <t>MXRE1206SMD4K7</t>
  </si>
  <si>
    <t>MXRE1206SMD51E</t>
  </si>
  <si>
    <t>MXRE1206SMD560K</t>
  </si>
  <si>
    <t>MXRE1206SMD5K6</t>
  </si>
  <si>
    <t>MXRE1206SMD5R6</t>
  </si>
  <si>
    <t>MXRE1206SMD68R</t>
  </si>
  <si>
    <t>MXRE1206SMD6K8</t>
  </si>
  <si>
    <t>MXRE1206SMD820K</t>
  </si>
  <si>
    <t>MXRE1210SMD180K</t>
  </si>
  <si>
    <t>MXRE1210SMD200K</t>
  </si>
  <si>
    <t>MXRE1210SMD220K</t>
  </si>
  <si>
    <t>MXRE1210SMD2K2</t>
  </si>
  <si>
    <t>MXRE1210SMD470K</t>
  </si>
  <si>
    <t>MXRE2728SMD0-02E4W</t>
  </si>
  <si>
    <t>MXRE9SIP1KNW</t>
  </si>
  <si>
    <t>MXRE9SIP4K7NW</t>
  </si>
  <si>
    <t>MXREBVS-A-R004-10</t>
  </si>
  <si>
    <t>MXRECA18E2W00</t>
  </si>
  <si>
    <t>MXRECA220E2W00</t>
  </si>
  <si>
    <t>MXRECA680E2W00</t>
  </si>
  <si>
    <t>MXRECA82E2W00</t>
  </si>
  <si>
    <t>MXRECE100E50W00</t>
  </si>
  <si>
    <t>MXRECE33K10W00</t>
  </si>
  <si>
    <t>MXRECSF1600TR</t>
  </si>
  <si>
    <t>MXRECUS1M13F</t>
  </si>
  <si>
    <t>MXREDF30NA160F1</t>
  </si>
  <si>
    <t>MXREME10K0W1</t>
  </si>
  <si>
    <t>MXREME1R0W25</t>
  </si>
  <si>
    <t>MXREME220E0W25</t>
  </si>
  <si>
    <t>MXRES1206SMD1R</t>
  </si>
  <si>
    <t>MXRES2512SMD10K</t>
  </si>
  <si>
    <t>MXRES2512SMD10R</t>
  </si>
  <si>
    <t>MXRES2512SMD220R</t>
  </si>
  <si>
    <t>MXRES2512SMD680R</t>
  </si>
  <si>
    <t>MXRES2512SMD82R</t>
  </si>
  <si>
    <t>MXRESCMS-R020-1.0</t>
  </si>
  <si>
    <t>MXRESMD4K7PACK</t>
  </si>
  <si>
    <t>MXRGVOLTMP174GS</t>
  </si>
  <si>
    <t>MXRYPCB105L1CO</t>
  </si>
  <si>
    <t>MXRYRZ01-1C4-D005</t>
  </si>
  <si>
    <t>MXSN65HVD230DR</t>
  </si>
  <si>
    <t>MXSNCUS71220AT</t>
  </si>
  <si>
    <t>MXSNCUS71230AT</t>
  </si>
  <si>
    <t>MXSW8WP</t>
  </si>
  <si>
    <t>MXSWDIP8W</t>
  </si>
  <si>
    <t>MXSWDPDT</t>
  </si>
  <si>
    <t>MXTMI1667EXA</t>
  </si>
  <si>
    <t>MXTMS320F2810PBKA</t>
  </si>
  <si>
    <t>MXTP001K3296W</t>
  </si>
  <si>
    <t>MXTP002K3296W</t>
  </si>
  <si>
    <t>MXTP010K3006P</t>
  </si>
  <si>
    <t>MXTP500E3296W</t>
  </si>
  <si>
    <t>MXTPS767D318PWP</t>
  </si>
  <si>
    <t>MXTR2N3904</t>
  </si>
  <si>
    <t>MXTR2N3906</t>
  </si>
  <si>
    <t>MXTRANSFORMER-10</t>
  </si>
  <si>
    <t>MXTRASPACERTO220</t>
  </si>
  <si>
    <t>MXTRBC80725MTF</t>
  </si>
  <si>
    <t>MXTRBC81740MTF</t>
  </si>
  <si>
    <t>MXTRBD139</t>
  </si>
  <si>
    <t>MXTRD44VH10G</t>
  </si>
  <si>
    <t>MXTRD45VH10G</t>
  </si>
  <si>
    <t>MXTRMMDT22277F</t>
  </si>
  <si>
    <t>MXTRMOSIRF9540</t>
  </si>
  <si>
    <t>MXTRSL100B</t>
  </si>
  <si>
    <t>MXTRSZRB5AE3-52</t>
  </si>
  <si>
    <t>MXTRSZRB5AE352</t>
  </si>
  <si>
    <t>MXVRB2405LD-15WR3</t>
  </si>
  <si>
    <t>MXVRV47ZA3P</t>
  </si>
  <si>
    <t>P002CN0010MT</t>
  </si>
  <si>
    <t>P002CN0020MT</t>
  </si>
  <si>
    <t>P002CN0030MT</t>
  </si>
  <si>
    <t>P002CN0040MT</t>
  </si>
  <si>
    <t>P002CP0010MT</t>
  </si>
  <si>
    <t>P002CP0020MT</t>
  </si>
  <si>
    <t>P002CP0030MT</t>
  </si>
  <si>
    <t>P002CP0040MT</t>
  </si>
  <si>
    <t>P002CP0050MT</t>
  </si>
  <si>
    <t>P002CP0060MT</t>
  </si>
  <si>
    <t>P002CP0070MT</t>
  </si>
  <si>
    <t>P002CP0080MT</t>
  </si>
  <si>
    <t>P002CP0090MT</t>
  </si>
  <si>
    <t>P002CP0100MT</t>
  </si>
  <si>
    <t>P002CP0110MT</t>
  </si>
  <si>
    <t>P002CP0120MT</t>
  </si>
  <si>
    <t>P002CP0130MT</t>
  </si>
  <si>
    <t>P002CP0140MT</t>
  </si>
  <si>
    <t>P002CP0150MT</t>
  </si>
  <si>
    <t>P002CP0160MT</t>
  </si>
  <si>
    <t>P002CP0170MT</t>
  </si>
  <si>
    <t>P002CR0010MT</t>
  </si>
  <si>
    <t>P002CR0020MT</t>
  </si>
  <si>
    <t>P002DD0010MT</t>
  </si>
  <si>
    <t>P002DD0020MT</t>
  </si>
  <si>
    <t>P002DD0030MT</t>
  </si>
  <si>
    <t>P002DD0040MT</t>
  </si>
  <si>
    <t>P002DD0050MT</t>
  </si>
  <si>
    <t>P002DD0060MT</t>
  </si>
  <si>
    <t>P002DD0070MT</t>
  </si>
  <si>
    <t>P002HS0010MT</t>
  </si>
  <si>
    <t>P002IC0010MT</t>
  </si>
  <si>
    <t>P002IC0020MT</t>
  </si>
  <si>
    <t>P002IC0030MT</t>
  </si>
  <si>
    <t>P002IC0040MT</t>
  </si>
  <si>
    <t>P002IC0050MT</t>
  </si>
  <si>
    <t>P002IC0060MT</t>
  </si>
  <si>
    <t>P002IC0070MT</t>
  </si>
  <si>
    <t>P002IC0080MT</t>
  </si>
  <si>
    <t>P002IC0090MT</t>
  </si>
  <si>
    <t>P002IC0100MT</t>
  </si>
  <si>
    <t>P002IN0010MT</t>
  </si>
  <si>
    <t>P002IN0020MT</t>
  </si>
  <si>
    <t>P002IN0030MT</t>
  </si>
  <si>
    <t>P002PCB001MT</t>
  </si>
  <si>
    <t>P002RL0010MT</t>
  </si>
  <si>
    <t>P002RR0010MT</t>
  </si>
  <si>
    <t>P002RR0020MT</t>
  </si>
  <si>
    <t>P002RR0030MT</t>
  </si>
  <si>
    <t>P002RR0040MT</t>
  </si>
  <si>
    <t>P002RR0050MT</t>
  </si>
  <si>
    <t>P002RR0060MT</t>
  </si>
  <si>
    <t>P002RR0070MT</t>
  </si>
  <si>
    <t>P002RR0080MT</t>
  </si>
  <si>
    <t>P002RR0090MT</t>
  </si>
  <si>
    <t>P002RR0100MT</t>
  </si>
  <si>
    <t>P002RR0110MT</t>
  </si>
  <si>
    <t>P002TR0010MT</t>
  </si>
  <si>
    <t>P002WS0010MT</t>
  </si>
  <si>
    <t>P014LED002</t>
  </si>
  <si>
    <t>P014S18100</t>
  </si>
  <si>
    <t>P01700N118</t>
  </si>
  <si>
    <t>P017CN0001</t>
  </si>
  <si>
    <t>P017CP0001</t>
  </si>
  <si>
    <t>P017CP0002</t>
  </si>
  <si>
    <t>P017CP0003</t>
  </si>
  <si>
    <t>P017CP0004</t>
  </si>
  <si>
    <t>P017DD0001</t>
  </si>
  <si>
    <t>P017GL0001</t>
  </si>
  <si>
    <t>P017HAR001</t>
  </si>
  <si>
    <t>P017IC0001</t>
  </si>
  <si>
    <t>P017LED001</t>
  </si>
  <si>
    <t>P017PCB001</t>
  </si>
  <si>
    <t>P017PM0001</t>
  </si>
  <si>
    <t>P017PM0002</t>
  </si>
  <si>
    <t>P017PM0003</t>
  </si>
  <si>
    <t>P017PM0004</t>
  </si>
  <si>
    <t>P017RR0001</t>
  </si>
  <si>
    <t>P017RR0002</t>
  </si>
  <si>
    <t>P017RR0003</t>
  </si>
  <si>
    <t>P017RR0004</t>
  </si>
  <si>
    <t>P017SP0001</t>
  </si>
  <si>
    <t>P017ST0001</t>
  </si>
  <si>
    <t>P017SW0001</t>
  </si>
  <si>
    <t>P017TRN001</t>
  </si>
  <si>
    <t>P017VR0001</t>
  </si>
  <si>
    <t>P020LED001</t>
  </si>
  <si>
    <t>P020PCB001</t>
  </si>
  <si>
    <t>P021CAP001</t>
  </si>
  <si>
    <t>P021LED001</t>
  </si>
  <si>
    <t>P021PCB001</t>
  </si>
  <si>
    <t>P021RES001</t>
  </si>
  <si>
    <t>P022LED001</t>
  </si>
  <si>
    <t>P022PCB001</t>
  </si>
  <si>
    <t>P024CAP001</t>
  </si>
  <si>
    <t>P024CAP002</t>
  </si>
  <si>
    <t>P024DOD001</t>
  </si>
  <si>
    <t>P024DOD002</t>
  </si>
  <si>
    <t>P024HAR001</t>
  </si>
  <si>
    <t>P024LED001</t>
  </si>
  <si>
    <t>P024PCB001</t>
  </si>
  <si>
    <t>P024PM0001</t>
  </si>
  <si>
    <t>P024PM0002</t>
  </si>
  <si>
    <t>P024PM0003</t>
  </si>
  <si>
    <t>P024PM0004</t>
  </si>
  <si>
    <t>P025CON001</t>
  </si>
  <si>
    <t>P025DOD001</t>
  </si>
  <si>
    <t>P025DOD002</t>
  </si>
  <si>
    <t>P025LED001</t>
  </si>
  <si>
    <t>P025PCB001</t>
  </si>
  <si>
    <t>P025RES001</t>
  </si>
  <si>
    <t>P025RES002</t>
  </si>
  <si>
    <t>P025RES003</t>
  </si>
  <si>
    <t>P025RES004</t>
  </si>
  <si>
    <t>P025RES005</t>
  </si>
  <si>
    <t>P025RES006</t>
  </si>
  <si>
    <t>P025RES007</t>
  </si>
  <si>
    <t>P025SW0001</t>
  </si>
  <si>
    <t>P026CON001</t>
  </si>
  <si>
    <t>P026PCB001</t>
  </si>
  <si>
    <t>P026RES001</t>
  </si>
  <si>
    <t>P026RES002</t>
  </si>
  <si>
    <t>P026RES003</t>
  </si>
  <si>
    <t>P027CON001</t>
  </si>
  <si>
    <t>P027LED001</t>
  </si>
  <si>
    <t>P027LED002</t>
  </si>
  <si>
    <t>P027PCB001</t>
  </si>
  <si>
    <t>P027RES001</t>
  </si>
  <si>
    <t>P027RES002</t>
  </si>
  <si>
    <t>P027RES003</t>
  </si>
  <si>
    <t>P027RES004</t>
  </si>
  <si>
    <t>P027RES005</t>
  </si>
  <si>
    <t>P027SW0001</t>
  </si>
  <si>
    <t>P027SW0002</t>
  </si>
  <si>
    <t>P029LED001</t>
  </si>
  <si>
    <t>P029PCB001</t>
  </si>
  <si>
    <t>P029RES001</t>
  </si>
  <si>
    <t>P029RES002</t>
  </si>
  <si>
    <t>P029RES003</t>
  </si>
  <si>
    <t>P029RES004</t>
  </si>
  <si>
    <t>P029RES005</t>
  </si>
  <si>
    <t>P029RES006</t>
  </si>
  <si>
    <t>P029RES007</t>
  </si>
  <si>
    <t>P029RES008</t>
  </si>
  <si>
    <t>P029RES009</t>
  </si>
  <si>
    <t>P029RES011</t>
  </si>
  <si>
    <t>P029RES012</t>
  </si>
  <si>
    <t>P029RES014</t>
  </si>
  <si>
    <t>P031PCB001</t>
  </si>
  <si>
    <t>P031RES001</t>
  </si>
  <si>
    <t>P031RES002</t>
  </si>
  <si>
    <t>P031RES003</t>
  </si>
  <si>
    <t>P031RES004</t>
  </si>
  <si>
    <t>P031RES005</t>
  </si>
  <si>
    <t>P031RES006</t>
  </si>
  <si>
    <t>P031RES007</t>
  </si>
  <si>
    <t>P031RES008</t>
  </si>
  <si>
    <t>P032PCB001</t>
  </si>
  <si>
    <t>P032RES001</t>
  </si>
  <si>
    <t>P032RES002</t>
  </si>
  <si>
    <t>P032RES003</t>
  </si>
  <si>
    <t>P032RES004</t>
  </si>
  <si>
    <t>P040SC0001</t>
  </si>
  <si>
    <t>P053HS0001</t>
  </si>
  <si>
    <t>P053IND001</t>
  </si>
  <si>
    <t>P053TRM001</t>
  </si>
  <si>
    <t>P053TRM002</t>
  </si>
  <si>
    <t>P053TRM003</t>
  </si>
  <si>
    <t>P054BSB001</t>
  </si>
  <si>
    <t>P054CAP002</t>
  </si>
  <si>
    <t>P078E280SB</t>
  </si>
  <si>
    <t>P086ASSY01</t>
  </si>
  <si>
    <t>P086CAP001</t>
  </si>
  <si>
    <t>P086CAP002</t>
  </si>
  <si>
    <t>P086CAP003</t>
  </si>
  <si>
    <t>P086CAP004</t>
  </si>
  <si>
    <t>P086CAP005</t>
  </si>
  <si>
    <t>P086CAP006</t>
  </si>
  <si>
    <t>P086CAP007</t>
  </si>
  <si>
    <t>P086CAP008</t>
  </si>
  <si>
    <t>P086CAP009</t>
  </si>
  <si>
    <t>P086CAP010</t>
  </si>
  <si>
    <t>P086CAP011</t>
  </si>
  <si>
    <t>P086CAP012</t>
  </si>
  <si>
    <t>P086CAP013</t>
  </si>
  <si>
    <t>P086CAP014</t>
  </si>
  <si>
    <t>P086CAP015</t>
  </si>
  <si>
    <t>P086CAP016</t>
  </si>
  <si>
    <t>P086CAP017</t>
  </si>
  <si>
    <t>P086CAP018</t>
  </si>
  <si>
    <t>P086CAP019</t>
  </si>
  <si>
    <t>P086CAP020</t>
  </si>
  <si>
    <t>P086CAP021</t>
  </si>
  <si>
    <t>P086CAP022</t>
  </si>
  <si>
    <t>P086CAP023</t>
  </si>
  <si>
    <t>P086CAP024</t>
  </si>
  <si>
    <t>P086CAP025</t>
  </si>
  <si>
    <t>P086CAP026</t>
  </si>
  <si>
    <t>P086CAP027</t>
  </si>
  <si>
    <t>P086CAP028</t>
  </si>
  <si>
    <t>P086CAP029</t>
  </si>
  <si>
    <t>P086CAP030</t>
  </si>
  <si>
    <t>P086CHARGE</t>
  </si>
  <si>
    <t>P086CON001</t>
  </si>
  <si>
    <t>P086CON002</t>
  </si>
  <si>
    <t>P086CRY001</t>
  </si>
  <si>
    <t>P086DOD001</t>
  </si>
  <si>
    <t>P086DOD002</t>
  </si>
  <si>
    <t>P086DOD003</t>
  </si>
  <si>
    <t>P086DOD004</t>
  </si>
  <si>
    <t>P086DOD005</t>
  </si>
  <si>
    <t>P086DOD006</t>
  </si>
  <si>
    <t>P086DOD007</t>
  </si>
  <si>
    <t>P086DOD008</t>
  </si>
  <si>
    <t>P086DOD009</t>
  </si>
  <si>
    <t>P086DOD010</t>
  </si>
  <si>
    <t>P086DOD011</t>
  </si>
  <si>
    <t>P086DOD012</t>
  </si>
  <si>
    <t>P086DOD013</t>
  </si>
  <si>
    <t>P086IC0001</t>
  </si>
  <si>
    <t>P086IC0002</t>
  </si>
  <si>
    <t>P086IC0003</t>
  </si>
  <si>
    <t>P086IC0004</t>
  </si>
  <si>
    <t>P086IC0005</t>
  </si>
  <si>
    <t>P086IC0006</t>
  </si>
  <si>
    <t>P086IC0007</t>
  </si>
  <si>
    <t>P086IC0008</t>
  </si>
  <si>
    <t>P086IND001</t>
  </si>
  <si>
    <t>P086IND002</t>
  </si>
  <si>
    <t>P086IND003</t>
  </si>
  <si>
    <t>P086IND004</t>
  </si>
  <si>
    <t>P086IND005</t>
  </si>
  <si>
    <t>P086IND006</t>
  </si>
  <si>
    <t>P086PCB001</t>
  </si>
  <si>
    <t>P086RES001</t>
  </si>
  <si>
    <t>P086RES002</t>
  </si>
  <si>
    <t>P086RES003</t>
  </si>
  <si>
    <t>P086RES004</t>
  </si>
  <si>
    <t>P086RES005</t>
  </si>
  <si>
    <t>P086RES006</t>
  </si>
  <si>
    <t>P086RES007</t>
  </si>
  <si>
    <t>P086RES008</t>
  </si>
  <si>
    <t>P086RES009</t>
  </si>
  <si>
    <t>P086RES010</t>
  </si>
  <si>
    <t>P086RES011</t>
  </si>
  <si>
    <t>P086RES012</t>
  </si>
  <si>
    <t>P086RES013</t>
  </si>
  <si>
    <t>P086RES014</t>
  </si>
  <si>
    <t>P086RES015</t>
  </si>
  <si>
    <t>P086RES016</t>
  </si>
  <si>
    <t>P086RES017</t>
  </si>
  <si>
    <t>P086RES018</t>
  </si>
  <si>
    <t>P086RES019</t>
  </si>
  <si>
    <t>P086RES020</t>
  </si>
  <si>
    <t>P086RES021</t>
  </si>
  <si>
    <t>P086RES022</t>
  </si>
  <si>
    <t>P086RES023</t>
  </si>
  <si>
    <t>P086RES024</t>
  </si>
  <si>
    <t>P086RES025</t>
  </si>
  <si>
    <t>P086RES026</t>
  </si>
  <si>
    <t>P086RES027</t>
  </si>
  <si>
    <t>P086RES028</t>
  </si>
  <si>
    <t>P086RES029</t>
  </si>
  <si>
    <t>P086RES030</t>
  </si>
  <si>
    <t>P086RES031</t>
  </si>
  <si>
    <t>P086RES032</t>
  </si>
  <si>
    <t>P086RES033</t>
  </si>
  <si>
    <t>P086RES034</t>
  </si>
  <si>
    <t>P086TRN001</t>
  </si>
  <si>
    <t>P086TRN002</t>
  </si>
  <si>
    <t>P086TRN003</t>
  </si>
  <si>
    <t>P086TRN004</t>
  </si>
  <si>
    <t>P086TRN005</t>
  </si>
  <si>
    <t>P086TRN006</t>
  </si>
  <si>
    <t>P086TRN007</t>
  </si>
  <si>
    <t>P086TRN008</t>
  </si>
  <si>
    <t>P086TRN009</t>
  </si>
  <si>
    <t>P086TRN010</t>
  </si>
  <si>
    <t>P086TRN011</t>
  </si>
  <si>
    <t>P087CAP001</t>
  </si>
  <si>
    <t>P087CAP002</t>
  </si>
  <si>
    <t>P087CAP004</t>
  </si>
  <si>
    <t>P087CAP005</t>
  </si>
  <si>
    <t>P087CAP006</t>
  </si>
  <si>
    <t>P087CAP007</t>
  </si>
  <si>
    <t>P087CAP009</t>
  </si>
  <si>
    <t>P087CAP010</t>
  </si>
  <si>
    <t>P087CAP011</t>
  </si>
  <si>
    <t>P087CAP012</t>
  </si>
  <si>
    <t>P087CAP013</t>
  </si>
  <si>
    <t>P087CAP014</t>
  </si>
  <si>
    <t>P087CAP015</t>
  </si>
  <si>
    <t>P087CAP016</t>
  </si>
  <si>
    <t>P087CON001</t>
  </si>
  <si>
    <t>P087CON002</t>
  </si>
  <si>
    <t>P087CRY001</t>
  </si>
  <si>
    <t>P087DOD001</t>
  </si>
  <si>
    <t>P087IC0001</t>
  </si>
  <si>
    <t>P087IC0002</t>
  </si>
  <si>
    <t>P087IND001</t>
  </si>
  <si>
    <t>P087IND002</t>
  </si>
  <si>
    <t>P087IND003</t>
  </si>
  <si>
    <t>P087PCB001</t>
  </si>
  <si>
    <t>P087RES001</t>
  </si>
  <si>
    <t>P087RES002</t>
  </si>
  <si>
    <t>P087RES003</t>
  </si>
  <si>
    <t>P087RES004</t>
  </si>
  <si>
    <t>P087RES005</t>
  </si>
  <si>
    <t>P087RES006</t>
  </si>
  <si>
    <t>P087RES007</t>
  </si>
  <si>
    <t>P087RES008</t>
  </si>
  <si>
    <t>P087RES009</t>
  </si>
  <si>
    <t>P087RES010</t>
  </si>
  <si>
    <t>P087RES011</t>
  </si>
  <si>
    <t>P087RES012</t>
  </si>
  <si>
    <t>P087RES013</t>
  </si>
  <si>
    <t>P087RES014</t>
  </si>
  <si>
    <t>P087RES015</t>
  </si>
  <si>
    <t>P087RES016</t>
  </si>
  <si>
    <t>P087RES017</t>
  </si>
  <si>
    <t>P087RES018</t>
  </si>
  <si>
    <t>P087TRN001</t>
  </si>
  <si>
    <t>P0887011CR</t>
  </si>
  <si>
    <t>P088ASSY01</t>
  </si>
  <si>
    <t>P088ASSY02</t>
  </si>
  <si>
    <t>P088ASSY03</t>
  </si>
  <si>
    <t>P091525410</t>
  </si>
  <si>
    <t>P092ASSY01</t>
  </si>
  <si>
    <t>P092CAP001</t>
  </si>
  <si>
    <t>P092CAP002</t>
  </si>
  <si>
    <t>P092CAP003</t>
  </si>
  <si>
    <t>P092CAP004</t>
  </si>
  <si>
    <t>P092CAP006</t>
  </si>
  <si>
    <t>P092CON001</t>
  </si>
  <si>
    <t>P092DOD001</t>
  </si>
  <si>
    <t>P092DOD002</t>
  </si>
  <si>
    <t>P092E7646S</t>
  </si>
  <si>
    <t>P092IC0001</t>
  </si>
  <si>
    <t>P092IND001</t>
  </si>
  <si>
    <t>P092PCB001</t>
  </si>
  <si>
    <t>P092RES001</t>
  </si>
  <si>
    <t>P092RES002</t>
  </si>
  <si>
    <t>P092RES003</t>
  </si>
  <si>
    <t>P092RES004</t>
  </si>
  <si>
    <t>P092RES005</t>
  </si>
  <si>
    <t>P092RES006</t>
  </si>
  <si>
    <t>P093ADCON1</t>
  </si>
  <si>
    <t>P093ADTRN1</t>
  </si>
  <si>
    <t>P093LED001</t>
  </si>
  <si>
    <t>P093LED002</t>
  </si>
  <si>
    <t>P099ASSY01</t>
  </si>
  <si>
    <t>P099AW5604</t>
  </si>
  <si>
    <t>P104CAP002</t>
  </si>
  <si>
    <t>P104D104LH</t>
  </si>
  <si>
    <t>P104D104RH</t>
  </si>
  <si>
    <t>P104DOD002</t>
  </si>
  <si>
    <t>P104DOD003</t>
  </si>
  <si>
    <t>P104DOD004</t>
  </si>
  <si>
    <t>P104DOD005</t>
  </si>
  <si>
    <t>P104LED001</t>
  </si>
  <si>
    <t>P104PCB001</t>
  </si>
  <si>
    <t>P104RES001</t>
  </si>
  <si>
    <t>P104RES002</t>
  </si>
  <si>
    <t>P104RES003</t>
  </si>
  <si>
    <t>P104RES004</t>
  </si>
  <si>
    <t>P104RES005</t>
  </si>
  <si>
    <t>P104RES006</t>
  </si>
  <si>
    <t>P104RES007</t>
  </si>
  <si>
    <t>P104RES008</t>
  </si>
  <si>
    <t>P104RES009</t>
  </si>
  <si>
    <t>P104RES010</t>
  </si>
  <si>
    <t>P104RES011</t>
  </si>
  <si>
    <t>P104TRN001</t>
  </si>
  <si>
    <t>P104TRN002</t>
  </si>
  <si>
    <t>P104TRN003</t>
  </si>
  <si>
    <t>P105ASSY01</t>
  </si>
  <si>
    <t>P105BL1730</t>
  </si>
  <si>
    <t>P105CAP001</t>
  </si>
  <si>
    <t>P105DOD001</t>
  </si>
  <si>
    <t>P105DOD002</t>
  </si>
  <si>
    <t>P105LED001</t>
  </si>
  <si>
    <t>P105PCB001</t>
  </si>
  <si>
    <t>P105RES001</t>
  </si>
  <si>
    <t>P105RES002</t>
  </si>
  <si>
    <t>P112ASSY01</t>
  </si>
  <si>
    <t>P114CAP001</t>
  </si>
  <si>
    <t>P114CAP002</t>
  </si>
  <si>
    <t>P114CAP003</t>
  </si>
  <si>
    <t>P114CAP004</t>
  </si>
  <si>
    <t>P114CAP005</t>
  </si>
  <si>
    <t>P114CAP006</t>
  </si>
  <si>
    <t>P114CAP007</t>
  </si>
  <si>
    <t>P114CAP008</t>
  </si>
  <si>
    <t>P114CAP009</t>
  </si>
  <si>
    <t>P114CAP010</t>
  </si>
  <si>
    <t>P114CAP011</t>
  </si>
  <si>
    <t>P114CAP012</t>
  </si>
  <si>
    <t>P114CAP013</t>
  </si>
  <si>
    <t>P114CAP014</t>
  </si>
  <si>
    <t>P114CAP015</t>
  </si>
  <si>
    <t>P114CAP016</t>
  </si>
  <si>
    <t>P114CAP017</t>
  </si>
  <si>
    <t>P114CAP018</t>
  </si>
  <si>
    <t>P114CAP019</t>
  </si>
  <si>
    <t>P114CAP020</t>
  </si>
  <si>
    <t>P114CONN01</t>
  </si>
  <si>
    <t>P114DOD002</t>
  </si>
  <si>
    <t>P114IC0001</t>
  </si>
  <si>
    <t>P114IC0002</t>
  </si>
  <si>
    <t>P114IND001</t>
  </si>
  <si>
    <t>P114IND002</t>
  </si>
  <si>
    <t>P114RES001</t>
  </si>
  <si>
    <t>P114RES002</t>
  </si>
  <si>
    <t>P114RES003</t>
  </si>
  <si>
    <t>P114RES004</t>
  </si>
  <si>
    <t>P114RES005</t>
  </si>
  <si>
    <t>P114RES006</t>
  </si>
  <si>
    <t>P114RES007</t>
  </si>
  <si>
    <t>P114RES008</t>
  </si>
  <si>
    <t>P114RES009</t>
  </si>
  <si>
    <t>P114RES010</t>
  </si>
  <si>
    <t>P114RES011</t>
  </si>
  <si>
    <t>P114RES012</t>
  </si>
  <si>
    <t>P114RES013</t>
  </si>
  <si>
    <t>P114RES034</t>
  </si>
  <si>
    <t>P114RES035</t>
  </si>
  <si>
    <t>P114RES036</t>
  </si>
  <si>
    <t>P114RES037</t>
  </si>
  <si>
    <t>P114RES038</t>
  </si>
  <si>
    <t>P114RES039</t>
  </si>
  <si>
    <t>P114RES040</t>
  </si>
  <si>
    <t>P114RES041</t>
  </si>
  <si>
    <t>P114VARI01</t>
  </si>
  <si>
    <t>P114YXAPCB</t>
  </si>
  <si>
    <t>P114ZDOD01</t>
  </si>
  <si>
    <t>P114ZDOD02</t>
  </si>
  <si>
    <t>P115ASSY01</t>
  </si>
  <si>
    <t>P115ASSY02</t>
  </si>
  <si>
    <t>P146CONN01</t>
  </si>
  <si>
    <t>P146LMIC01</t>
  </si>
  <si>
    <t>P153ASSY01</t>
  </si>
  <si>
    <t>P153MKTMLC</t>
  </si>
  <si>
    <t>P154MKMMCB</t>
  </si>
  <si>
    <t>P169BLULED</t>
  </si>
  <si>
    <t>P169DOD001</t>
  </si>
  <si>
    <t>P237LED001</t>
  </si>
  <si>
    <t>P237LED002</t>
  </si>
  <si>
    <t>P242LED002</t>
  </si>
  <si>
    <t>P295CAPPCB</t>
  </si>
  <si>
    <t>PBBILED001</t>
  </si>
  <si>
    <t>PGD445X415</t>
  </si>
  <si>
    <t>PGDC80X420</t>
  </si>
  <si>
    <t>PGDCUBOX01</t>
  </si>
  <si>
    <t>PGDCUFOM01</t>
  </si>
  <si>
    <t>PWMASSY001</t>
  </si>
  <si>
    <t>RR19068</t>
  </si>
  <si>
    <t>SCRR19068</t>
  </si>
  <si>
    <t>Z001-061DM002A0Y</t>
  </si>
  <si>
    <t>Z001-061DS002A0Y</t>
  </si>
  <si>
    <t>Z001-084S001A0Y</t>
  </si>
  <si>
    <t>Z002-016AA0Y</t>
  </si>
  <si>
    <t>Z002B-092S004A0Y</t>
  </si>
  <si>
    <t>Z002C-061S001A0Y</t>
  </si>
  <si>
    <t>Z002E-060S001A0Y</t>
  </si>
  <si>
    <t>Z002E-092S001A0Y</t>
  </si>
  <si>
    <t>Z003-092S002A0Y</t>
  </si>
  <si>
    <t>Z009E-092S001A0Y</t>
  </si>
  <si>
    <t>Z009E-706CS001A0Y</t>
  </si>
  <si>
    <t>Z009E-706CS002A0Y</t>
  </si>
  <si>
    <t>Z011-057S002A0Y</t>
  </si>
  <si>
    <t>Z011-061DM001A0Y</t>
  </si>
  <si>
    <t>Z011-061DM002A0Y</t>
  </si>
  <si>
    <t>Z011-061DM004A0Y</t>
  </si>
  <si>
    <t>Z011-062S001A0Y</t>
  </si>
  <si>
    <t>Z011-072S001A0Y</t>
  </si>
  <si>
    <t>Z011-072S003A0Y</t>
  </si>
  <si>
    <t>Z011-084S003A0Y</t>
  </si>
  <si>
    <t>Z011-091A0Y</t>
  </si>
  <si>
    <t>Z011-092S010A0Y</t>
  </si>
  <si>
    <t>Z011-092S011A0Y</t>
  </si>
  <si>
    <t>Z011-092S012A0Y</t>
  </si>
  <si>
    <t>Z011-092S013A0Y</t>
  </si>
  <si>
    <t>Z011-092S015A0Y</t>
  </si>
  <si>
    <t>Z011-092S017A0Y</t>
  </si>
  <si>
    <t>Z011-153S001A0Y</t>
  </si>
  <si>
    <t>Z011-706CS001A0Y</t>
  </si>
  <si>
    <t>Z011-706CS004A0Y</t>
  </si>
  <si>
    <t>Z011-706CS005A0Y</t>
  </si>
  <si>
    <t>Z011-706CS007A0Y</t>
  </si>
  <si>
    <t>Z012-057S001A0Y</t>
  </si>
  <si>
    <t>Z012-061ZMM001A0Y</t>
  </si>
  <si>
    <t>Z012-061ZMM002A0Y</t>
  </si>
  <si>
    <t>Z012-061ZMM003A0Y</t>
  </si>
  <si>
    <t>Z012-061ZMM004A0Y</t>
  </si>
  <si>
    <t>Z012-061ZMM005A0Y</t>
  </si>
  <si>
    <t>Z012-062S001A0Y</t>
  </si>
  <si>
    <t>Z012-084S001A0Y</t>
  </si>
  <si>
    <t>Z012-088TN001A0Y</t>
  </si>
  <si>
    <t>Z012-092S001A0Y</t>
  </si>
  <si>
    <t>Z012-092S003A0Y</t>
  </si>
  <si>
    <t>Z012-092S004A0Y</t>
  </si>
  <si>
    <t>Z012-092S005A0Y</t>
  </si>
  <si>
    <t>Z012-092S006A0Y</t>
  </si>
  <si>
    <t>Z012-092S007A0Y</t>
  </si>
  <si>
    <t>Z012-092S008A0Y</t>
  </si>
  <si>
    <t>Z012-092S009A0Y</t>
  </si>
  <si>
    <t>Z012-092S010A0Y</t>
  </si>
  <si>
    <t>Z012-092S011A0Y</t>
  </si>
  <si>
    <t>Z012-092S012A0Y</t>
  </si>
  <si>
    <t>Z012-092S013A0Y</t>
  </si>
  <si>
    <t>Z012-092S014A0Y</t>
  </si>
  <si>
    <t>Z012-092S015A0Y</t>
  </si>
  <si>
    <t>Z012-092S016A0Y</t>
  </si>
  <si>
    <t>Z012-158LDO001A0Y</t>
  </si>
  <si>
    <t>Z012-158LDO002A0Y</t>
  </si>
  <si>
    <t>Z012-706CS001A0Y</t>
  </si>
  <si>
    <t>Z012-706CS002A0Y</t>
  </si>
  <si>
    <t>Z012-706CS003A0Y</t>
  </si>
  <si>
    <t>Z012-706CS004A0Y</t>
  </si>
  <si>
    <t>Z012-706CS005A0Y</t>
  </si>
  <si>
    <t>Z012-706CS006A0Y</t>
  </si>
  <si>
    <t>Z012-706CS007A0Y</t>
  </si>
  <si>
    <t>Z046-706CS008AOY</t>
  </si>
  <si>
    <t>Z055-091A0Y</t>
  </si>
  <si>
    <t>Z080-091A0Y</t>
  </si>
  <si>
    <t>Z114-091A0Y</t>
  </si>
  <si>
    <t>RCIA NO</t>
  </si>
  <si>
    <t>RCIA DATE</t>
  </si>
  <si>
    <t>CHALLAN NO</t>
  </si>
  <si>
    <t>CHALLAN DATE</t>
  </si>
  <si>
    <t>PHY CHALLAN TOTAL</t>
  </si>
  <si>
    <t>consolited total total.</t>
  </si>
  <si>
    <t>RCIA TOTAL</t>
  </si>
  <si>
    <t>TOTAL</t>
  </si>
  <si>
    <t>24.09.2025</t>
  </si>
  <si>
    <t>phy 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</si>
</sst>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"/>
    <numFmt numFmtId="165" formatCode="#,##0.000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 applyAlignment="1">
      <alignment wrapText="1"/>
    </xf>
    <xf numFmtId="49" fontId="18" fillId="0" borderId="0" xfId="0" applyNumberFormat="1" applyFont="1" applyAlignment="1">
      <alignment wrapText="1"/>
    </xf>
    <xf numFmtId="164" fontId="18" fillId="0" borderId="0" xfId="0" applyNumberFormat="1" applyFont="1" applyAlignment="1">
      <alignment wrapText="1"/>
    </xf>
    <xf numFmtId="165" fontId="18" fillId="0" borderId="0" xfId="0" applyNumberFormat="1" applyFont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wrapText="1"/>
    </xf>
    <xf numFmtId="0" fontId="16" fillId="0" borderId="10" xfId="0" applyFont="1" applyBorder="1" applyAlignment="1">
      <alignment horizontal="right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right"/>
    </xf>
    <xf numFmtId="0" fontId="1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tabSelected="1" topLeftCell="A109" workbookViewId="0">
      <selection activeCell="J129" sqref="J129"/>
    </sheetView>
  </sheetViews>
  <sheetFormatPr defaultRowHeight="15" x14ac:dyDescent="0.25"/>
  <cols>
    <col min="1" max="1" width="3" bestFit="1" customWidth="1"/>
    <col min="2" max="2" width="4" bestFit="1" customWidth="1"/>
    <col min="3" max="3" width="22.140625" bestFit="1" customWidth="1"/>
    <col min="4" max="4" width="54.5703125" bestFit="1" customWidth="1"/>
    <col min="5" max="5" width="16.28515625" customWidth="1"/>
    <col min="6" max="8" width="14.42578125" customWidth="1"/>
    <col min="9" max="9" width="8" customWidth="1"/>
    <col min="10" max="10" width="11.28515625" bestFit="1" customWidth="1"/>
    <col min="14" max="14" width="17.7109375" customWidth="1"/>
    <col min="15" max="15" width="5.140625" customWidth="1"/>
    <col min="17" max="17" width="0" hidden="1" customWidth="1"/>
  </cols>
  <sheetData>
    <row r="1" spans="1:17" x14ac:dyDescent="0.25">
      <c r="A1" s="14" t="s">
        <v>315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7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7" x14ac:dyDescent="0.25">
      <c r="C3" s="6" t="s">
        <v>309</v>
      </c>
      <c r="D3" s="6"/>
      <c r="E3" s="6" t="s">
        <v>305</v>
      </c>
      <c r="F3" s="6"/>
      <c r="G3" s="6"/>
      <c r="H3" s="6"/>
      <c r="I3" s="6"/>
      <c r="J3" s="6"/>
    </row>
    <row r="4" spans="1:17" x14ac:dyDescent="0.25">
      <c r="C4" s="5" t="s">
        <v>308</v>
      </c>
      <c r="D4" s="5"/>
      <c r="E4" s="5" t="s">
        <v>310</v>
      </c>
      <c r="F4" s="5" t="s">
        <v>311</v>
      </c>
      <c r="G4" s="5" t="s">
        <v>312</v>
      </c>
      <c r="H4" s="5" t="s">
        <v>313</v>
      </c>
      <c r="I4" s="5" t="s">
        <v>306</v>
      </c>
      <c r="J4" s="5" t="s">
        <v>307</v>
      </c>
      <c r="K4" s="7" t="s">
        <v>316</v>
      </c>
      <c r="L4" s="7" t="s">
        <v>317</v>
      </c>
      <c r="N4" s="5" t="s">
        <v>318</v>
      </c>
      <c r="O4" s="5" t="s">
        <v>319</v>
      </c>
    </row>
    <row r="5" spans="1:17" x14ac:dyDescent="0.25">
      <c r="A5" s="5" t="s">
        <v>314</v>
      </c>
      <c r="B5" s="5">
        <v>1</v>
      </c>
      <c r="C5" s="5" t="s">
        <v>52</v>
      </c>
      <c r="D5" s="5" t="str">
        <f>+VLOOKUP(C5,Sheet1!K:M,3,)</f>
        <v>RES-MO-SMD 0R-5%-0402-63mW-55-155℃-TC400</v>
      </c>
      <c r="E5" s="5">
        <v>30000</v>
      </c>
      <c r="F5" s="5"/>
      <c r="G5" s="5"/>
      <c r="H5" s="5"/>
      <c r="I5" s="5"/>
      <c r="J5" s="5">
        <v>30000</v>
      </c>
      <c r="K5" s="5">
        <f>10000*3</f>
        <v>30000</v>
      </c>
      <c r="L5" s="5">
        <f>+K5-J5</f>
        <v>0</v>
      </c>
      <c r="N5" s="5" t="str">
        <f>+CONCATENATE(A5,C5)</f>
        <v>IN01S0000K21-00</v>
      </c>
      <c r="O5" s="5">
        <v>1</v>
      </c>
      <c r="Q5" t="str">
        <f>+VLOOKUP(N5,Sheet2!A:A,1,)</f>
        <v>IN01S0000K21-00</v>
      </c>
    </row>
    <row r="6" spans="1:17" x14ac:dyDescent="0.25">
      <c r="A6" s="5" t="s">
        <v>314</v>
      </c>
      <c r="B6" s="5">
        <v>2</v>
      </c>
      <c r="C6" s="5" t="s">
        <v>95</v>
      </c>
      <c r="D6" s="5" t="str">
        <f>+VLOOKUP(C6,Sheet1!K:M,3,)</f>
        <v>RES-MO-SMD 100R-1%-1206-250mW-55-155℃-TC100</v>
      </c>
      <c r="E6" s="5">
        <v>5000</v>
      </c>
      <c r="F6" s="5"/>
      <c r="G6" s="5"/>
      <c r="H6" s="5"/>
      <c r="I6" s="5"/>
      <c r="J6" s="5">
        <v>5000</v>
      </c>
      <c r="K6" s="5">
        <f>5000*1</f>
        <v>5000</v>
      </c>
      <c r="L6" s="5">
        <f t="shared" ref="L6:L69" si="0">+K6-J6</f>
        <v>0</v>
      </c>
      <c r="N6" s="5" t="str">
        <f t="shared" ref="N6:N69" si="1">+CONCATENATE(A6,C6)</f>
        <v>IN01S1000110-00</v>
      </c>
      <c r="O6" s="5">
        <v>2</v>
      </c>
      <c r="Q6" t="str">
        <f>+VLOOKUP(N6,Sheet2!A:A,1,)</f>
        <v>IN01S1000110-00</v>
      </c>
    </row>
    <row r="7" spans="1:17" x14ac:dyDescent="0.25">
      <c r="A7" s="5" t="s">
        <v>314</v>
      </c>
      <c r="B7" s="5">
        <v>3</v>
      </c>
      <c r="C7" s="5" t="s">
        <v>86</v>
      </c>
      <c r="D7" s="5" t="str">
        <f>+VLOOKUP(C7,Sheet1!K:M,3,)</f>
        <v>RES-MO-SMD 1K-1%-0603-100mW-55-155℃-TC100</v>
      </c>
      <c r="E7" s="5">
        <v>15000</v>
      </c>
      <c r="F7" s="5"/>
      <c r="G7" s="5"/>
      <c r="H7" s="5"/>
      <c r="I7" s="5"/>
      <c r="J7" s="5">
        <v>15000</v>
      </c>
      <c r="K7" s="5">
        <f>5000*3</f>
        <v>15000</v>
      </c>
      <c r="L7" s="5">
        <f t="shared" si="0"/>
        <v>0</v>
      </c>
      <c r="N7" s="5" t="str">
        <f t="shared" si="1"/>
        <v>IN01S1001310-00</v>
      </c>
      <c r="O7" s="5">
        <v>3</v>
      </c>
      <c r="Q7" t="str">
        <f>+VLOOKUP(N7,Sheet2!A:A,1,)</f>
        <v>IN01S1001310-00</v>
      </c>
    </row>
    <row r="8" spans="1:17" x14ac:dyDescent="0.25">
      <c r="A8" s="5" t="s">
        <v>314</v>
      </c>
      <c r="B8" s="5">
        <v>4</v>
      </c>
      <c r="C8" s="5" t="s">
        <v>82</v>
      </c>
      <c r="D8" s="5" t="str">
        <f>+VLOOKUP(C8,Sheet1!K:M,3,)</f>
        <v>RES-MO-SMD 10K-1%-1206-250mW-55-155℃-TC100</v>
      </c>
      <c r="E8" s="5">
        <v>10000</v>
      </c>
      <c r="F8" s="5"/>
      <c r="G8" s="5"/>
      <c r="H8" s="5"/>
      <c r="I8" s="5"/>
      <c r="J8" s="5">
        <v>10000</v>
      </c>
      <c r="K8" s="5">
        <f>5000*2</f>
        <v>10000</v>
      </c>
      <c r="L8" s="5">
        <f t="shared" si="0"/>
        <v>0</v>
      </c>
      <c r="N8" s="5" t="str">
        <f t="shared" si="1"/>
        <v>IN01S1002110-00</v>
      </c>
      <c r="O8" s="5">
        <v>4</v>
      </c>
      <c r="Q8" t="str">
        <f>+VLOOKUP(N8,Sheet2!A:A,1,)</f>
        <v>IN01S1002110-00</v>
      </c>
    </row>
    <row r="9" spans="1:17" x14ac:dyDescent="0.25">
      <c r="A9" s="5" t="s">
        <v>314</v>
      </c>
      <c r="B9" s="5">
        <v>5</v>
      </c>
      <c r="C9" s="5" t="s">
        <v>69</v>
      </c>
      <c r="D9" s="5" t="str">
        <f>+VLOOKUP(C9,Sheet1!K:M,3,)</f>
        <v>RES-MO-SMD 10K-1%-0603-100mW-55-155℃-TC100</v>
      </c>
      <c r="E9" s="5">
        <v>30000</v>
      </c>
      <c r="F9" s="5"/>
      <c r="G9" s="5"/>
      <c r="H9" s="5"/>
      <c r="I9" s="5"/>
      <c r="J9" s="5">
        <v>30000</v>
      </c>
      <c r="K9" s="5">
        <f>5000*6</f>
        <v>30000</v>
      </c>
      <c r="L9" s="5">
        <f t="shared" si="0"/>
        <v>0</v>
      </c>
      <c r="N9" s="5" t="str">
        <f t="shared" si="1"/>
        <v>IN01S1002310-00</v>
      </c>
      <c r="O9" s="5">
        <v>5</v>
      </c>
      <c r="Q9" t="str">
        <f>+VLOOKUP(N9,Sheet2!A:A,1,)</f>
        <v>IN01S1002310-00</v>
      </c>
    </row>
    <row r="10" spans="1:17" x14ac:dyDescent="0.25">
      <c r="A10" s="5" t="s">
        <v>314</v>
      </c>
      <c r="B10" s="5">
        <v>6</v>
      </c>
      <c r="C10" s="5" t="s">
        <v>131</v>
      </c>
      <c r="D10" s="5" t="str">
        <f>+VLOOKUP(C10,Sheet1!K:M,3,)</f>
        <v>RES-MT-SMD 10K-0.1%-0603-100mW-55-155℃-TC50</v>
      </c>
      <c r="E10" s="5"/>
      <c r="F10" s="5">
        <v>5000</v>
      </c>
      <c r="G10" s="5"/>
      <c r="H10" s="5"/>
      <c r="I10" s="5"/>
      <c r="J10" s="5">
        <v>5000</v>
      </c>
      <c r="K10" s="5">
        <f>5000*1</f>
        <v>5000</v>
      </c>
      <c r="L10" s="5">
        <f t="shared" si="0"/>
        <v>0</v>
      </c>
      <c r="N10" s="5" t="str">
        <f t="shared" si="1"/>
        <v>IN01S1002340-00</v>
      </c>
      <c r="O10" s="5">
        <v>6</v>
      </c>
      <c r="Q10" t="str">
        <f>+VLOOKUP(N10,Sheet2!A:A,1,)</f>
        <v>IN01S1002340-00</v>
      </c>
    </row>
    <row r="11" spans="1:17" x14ac:dyDescent="0.25">
      <c r="A11" s="5" t="s">
        <v>314</v>
      </c>
      <c r="B11" s="5">
        <v>7</v>
      </c>
      <c r="C11" s="5" t="s">
        <v>88</v>
      </c>
      <c r="D11" s="5" t="str">
        <f>+VLOOKUP(C11,Sheet1!K:M,3,)</f>
        <v>RES-MO-SMD 100K-1%-0603-100mW-55-155℃-TC100</v>
      </c>
      <c r="E11" s="5">
        <v>20000</v>
      </c>
      <c r="F11" s="5"/>
      <c r="G11" s="5"/>
      <c r="H11" s="5"/>
      <c r="I11" s="5"/>
      <c r="J11" s="5">
        <v>20000</v>
      </c>
      <c r="K11" s="5">
        <f>5000*4</f>
        <v>20000</v>
      </c>
      <c r="L11" s="5">
        <f t="shared" si="0"/>
        <v>0</v>
      </c>
      <c r="N11" s="5" t="str">
        <f t="shared" si="1"/>
        <v>IN01S1003310-00</v>
      </c>
      <c r="O11" s="5">
        <v>7</v>
      </c>
      <c r="Q11" t="str">
        <f>+VLOOKUP(N11,Sheet2!A:A,1,)</f>
        <v>IN01S1003310-00</v>
      </c>
    </row>
    <row r="12" spans="1:17" x14ac:dyDescent="0.25">
      <c r="A12" s="5" t="s">
        <v>314</v>
      </c>
      <c r="B12" s="5">
        <v>8</v>
      </c>
      <c r="C12" s="5" t="s">
        <v>64</v>
      </c>
      <c r="D12" s="5" t="str">
        <f>+VLOOKUP(C12,Sheet1!K:M,3,)</f>
        <v>RES-NTC-SMD 100K-1%-84V-4050K-2.5A-0603</v>
      </c>
      <c r="E12" s="5">
        <v>8000</v>
      </c>
      <c r="F12" s="5"/>
      <c r="G12" s="5"/>
      <c r="H12" s="5"/>
      <c r="I12" s="5"/>
      <c r="J12" s="5">
        <v>8000</v>
      </c>
      <c r="K12" s="5">
        <f>4000*2</f>
        <v>8000</v>
      </c>
      <c r="L12" s="5">
        <f t="shared" si="0"/>
        <v>0</v>
      </c>
      <c r="N12" s="5" t="str">
        <f t="shared" si="1"/>
        <v>IN01S1003311-13</v>
      </c>
      <c r="O12" s="5">
        <v>8</v>
      </c>
      <c r="Q12" t="str">
        <f>+VLOOKUP(N12,Sheet2!A:A,1,)</f>
        <v>IN01S1003311-13</v>
      </c>
    </row>
    <row r="13" spans="1:17" x14ac:dyDescent="0.25">
      <c r="A13" s="5" t="s">
        <v>314</v>
      </c>
      <c r="B13" s="5">
        <v>9</v>
      </c>
      <c r="C13" s="5" t="s">
        <v>187</v>
      </c>
      <c r="D13" s="5" t="str">
        <f>+VLOOKUP(C13,Sheet1!K:M,3,)</f>
        <v>RES-MO-SMD 1M-1%-0603-100mW-55-155℃-TC100</v>
      </c>
      <c r="E13" s="5"/>
      <c r="F13" s="5"/>
      <c r="G13" s="5">
        <v>10000</v>
      </c>
      <c r="H13" s="5"/>
      <c r="I13" s="5"/>
      <c r="J13" s="5">
        <v>10000</v>
      </c>
      <c r="K13" s="5">
        <f>5000*2</f>
        <v>10000</v>
      </c>
      <c r="L13" s="5">
        <f t="shared" si="0"/>
        <v>0</v>
      </c>
      <c r="N13" s="5" t="str">
        <f t="shared" si="1"/>
        <v>IN01S1004310-00</v>
      </c>
      <c r="O13" s="5">
        <v>9</v>
      </c>
      <c r="Q13" t="str">
        <f>+VLOOKUP(N13,Sheet2!A:A,1,)</f>
        <v>IN01S1004310-00</v>
      </c>
    </row>
    <row r="14" spans="1:17" x14ac:dyDescent="0.25">
      <c r="A14" s="5" t="s">
        <v>314</v>
      </c>
      <c r="B14" s="5">
        <v>10</v>
      </c>
      <c r="C14" s="5" t="s">
        <v>177</v>
      </c>
      <c r="D14" s="5" t="str">
        <f>+VLOOKUP(C14,Sheet1!K:M,3,)</f>
        <v>RES-Anti Surge-SMD 10R-5%-1206-250mW-55-155℃-TC400</v>
      </c>
      <c r="E14" s="5"/>
      <c r="F14" s="5"/>
      <c r="G14" s="5">
        <v>10000</v>
      </c>
      <c r="H14" s="5"/>
      <c r="I14" s="5"/>
      <c r="J14" s="5">
        <v>10000</v>
      </c>
      <c r="K14" s="5">
        <f>5000*2</f>
        <v>10000</v>
      </c>
      <c r="L14" s="5">
        <f t="shared" si="0"/>
        <v>0</v>
      </c>
      <c r="N14" s="5" t="str">
        <f t="shared" si="1"/>
        <v>IN01S1007121-02</v>
      </c>
      <c r="O14" s="5">
        <v>10</v>
      </c>
      <c r="Q14" t="str">
        <f>+VLOOKUP(N14,Sheet2!A:A,1,)</f>
        <v>IN01S1007121-02</v>
      </c>
    </row>
    <row r="15" spans="1:17" x14ac:dyDescent="0.25">
      <c r="A15" s="5" t="s">
        <v>314</v>
      </c>
      <c r="B15" s="5">
        <v>11</v>
      </c>
      <c r="C15" s="5" t="s">
        <v>203</v>
      </c>
      <c r="D15" s="5" t="str">
        <f>+VLOOKUP(C15,Sheet1!K:M,3,)</f>
        <v>RES-MO-SMD 1K1-1%-0603-100mW-55-155℃-TC100</v>
      </c>
      <c r="E15" s="5"/>
      <c r="F15" s="5"/>
      <c r="G15" s="5">
        <v>10000</v>
      </c>
      <c r="H15" s="5"/>
      <c r="I15" s="5"/>
      <c r="J15" s="5">
        <v>10000</v>
      </c>
      <c r="K15" s="5">
        <f>5000*2</f>
        <v>10000</v>
      </c>
      <c r="L15" s="5">
        <f t="shared" si="0"/>
        <v>0</v>
      </c>
      <c r="N15" s="5" t="str">
        <f t="shared" si="1"/>
        <v>IN01S1101310-00</v>
      </c>
      <c r="O15" s="5">
        <v>11</v>
      </c>
      <c r="Q15" t="str">
        <f>+VLOOKUP(N15,Sheet2!A:A,1,)</f>
        <v>IN01S1101310-00</v>
      </c>
    </row>
    <row r="16" spans="1:17" x14ac:dyDescent="0.25">
      <c r="A16" s="5" t="s">
        <v>314</v>
      </c>
      <c r="B16" s="5">
        <v>12</v>
      </c>
      <c r="C16" s="5" t="s">
        <v>213</v>
      </c>
      <c r="D16" s="5" t="str">
        <f>+VLOOKUP(C16,Sheet1!K:M,3,)</f>
        <v>RES-MO-SMD 110K-1%-1206-250mW-55-155℃-TC100</v>
      </c>
      <c r="E16" s="5"/>
      <c r="F16" s="5"/>
      <c r="G16" s="5">
        <v>15000</v>
      </c>
      <c r="H16" s="5"/>
      <c r="I16" s="5"/>
      <c r="J16" s="5">
        <v>15000</v>
      </c>
      <c r="K16" s="5">
        <f>5000*3</f>
        <v>15000</v>
      </c>
      <c r="L16" s="5">
        <f t="shared" si="0"/>
        <v>0</v>
      </c>
      <c r="N16" s="5" t="str">
        <f t="shared" si="1"/>
        <v>IN01S1103110-00</v>
      </c>
      <c r="O16" s="5">
        <v>12</v>
      </c>
      <c r="Q16" t="str">
        <f>+VLOOKUP(N16,Sheet2!A:A,1,)</f>
        <v>IN01S1103110-00</v>
      </c>
    </row>
    <row r="17" spans="1:17" x14ac:dyDescent="0.25">
      <c r="A17" s="5" t="s">
        <v>314</v>
      </c>
      <c r="B17" s="5">
        <v>13</v>
      </c>
      <c r="C17" s="5" t="s">
        <v>121</v>
      </c>
      <c r="D17" s="5" t="str">
        <f>+VLOOKUP(C17,Sheet1!K:M,3,)</f>
        <v>RES-MO-SMD 1M2-1%-1206-250mW-55-155℃-TC250</v>
      </c>
      <c r="E17" s="5"/>
      <c r="F17" s="5">
        <v>10000</v>
      </c>
      <c r="G17" s="5"/>
      <c r="H17" s="5"/>
      <c r="I17" s="5"/>
      <c r="J17" s="5">
        <v>10000</v>
      </c>
      <c r="K17" s="5">
        <f>5000*2</f>
        <v>10000</v>
      </c>
      <c r="L17" s="5">
        <f t="shared" si="0"/>
        <v>0</v>
      </c>
      <c r="N17" s="5" t="str">
        <f t="shared" si="1"/>
        <v>IN01S1204111-00</v>
      </c>
      <c r="O17" s="5">
        <v>13</v>
      </c>
      <c r="Q17" t="str">
        <f>+VLOOKUP(N17,Sheet2!A:A,1,)</f>
        <v>IN01S1204111-00</v>
      </c>
    </row>
    <row r="18" spans="1:17" x14ac:dyDescent="0.25">
      <c r="A18" s="5" t="s">
        <v>314</v>
      </c>
      <c r="B18" s="5">
        <v>14</v>
      </c>
      <c r="C18" s="5" t="s">
        <v>198</v>
      </c>
      <c r="D18" s="5" t="str">
        <f>+VLOOKUP(C18,Sheet1!K:M,3,)</f>
        <v>RES-MO-SMD 130K-1%-1206-250mW-55-155℃-TC100</v>
      </c>
      <c r="E18" s="5"/>
      <c r="F18" s="5"/>
      <c r="G18" s="5">
        <v>120000</v>
      </c>
      <c r="H18" s="5"/>
      <c r="I18" s="5"/>
      <c r="J18" s="5">
        <v>120000</v>
      </c>
      <c r="K18" s="5">
        <f>5000*20+5000*4</f>
        <v>120000</v>
      </c>
      <c r="L18" s="5">
        <f t="shared" si="0"/>
        <v>0</v>
      </c>
      <c r="N18" s="5" t="str">
        <f t="shared" si="1"/>
        <v>IN01S1303110-00</v>
      </c>
      <c r="O18" s="5">
        <v>14</v>
      </c>
      <c r="Q18" t="str">
        <f>+VLOOKUP(N18,Sheet2!A:A,1,)</f>
        <v>IN01S1303110-00</v>
      </c>
    </row>
    <row r="19" spans="1:17" x14ac:dyDescent="0.25">
      <c r="A19" s="5" t="s">
        <v>314</v>
      </c>
      <c r="B19" s="5">
        <v>15</v>
      </c>
      <c r="C19" s="5" t="s">
        <v>207</v>
      </c>
      <c r="D19" s="5" t="str">
        <f>+VLOOKUP(C19,Sheet1!K:M,3,)</f>
        <v>RES-MO-SMD 1K5-1%-0603-100mW-55-155℃-TC100</v>
      </c>
      <c r="E19" s="5"/>
      <c r="F19" s="5"/>
      <c r="G19" s="5">
        <v>5000</v>
      </c>
      <c r="H19" s="5"/>
      <c r="I19" s="5"/>
      <c r="J19" s="5">
        <v>5000</v>
      </c>
      <c r="K19" s="5">
        <f>5000*1</f>
        <v>5000</v>
      </c>
      <c r="L19" s="5">
        <f t="shared" si="0"/>
        <v>0</v>
      </c>
      <c r="N19" s="5" t="str">
        <f t="shared" si="1"/>
        <v>IN01S1501310-00</v>
      </c>
      <c r="O19" s="5">
        <v>15</v>
      </c>
      <c r="Q19" t="str">
        <f>+VLOOKUP(N19,Sheet2!A:A,1,)</f>
        <v>IN01S1501310-00</v>
      </c>
    </row>
    <row r="20" spans="1:17" x14ac:dyDescent="0.25">
      <c r="A20" s="5" t="s">
        <v>314</v>
      </c>
      <c r="B20" s="5">
        <v>16</v>
      </c>
      <c r="C20" s="5" t="s">
        <v>225</v>
      </c>
      <c r="D20" s="5" t="str">
        <f>+VLOOKUP(C20,Sheet1!K:M,3,)</f>
        <v>RES-MO-SMD 15K-1%-1206-250mW-55-155℃-TC100</v>
      </c>
      <c r="E20" s="5"/>
      <c r="F20" s="5"/>
      <c r="G20" s="5"/>
      <c r="H20" s="5">
        <v>20000</v>
      </c>
      <c r="I20" s="5"/>
      <c r="J20" s="5">
        <v>20000</v>
      </c>
      <c r="K20" s="5">
        <f>5000*4</f>
        <v>20000</v>
      </c>
      <c r="L20" s="5">
        <f t="shared" si="0"/>
        <v>0</v>
      </c>
      <c r="N20" s="5" t="str">
        <f t="shared" si="1"/>
        <v>IN01S1502110-00</v>
      </c>
      <c r="O20" s="5">
        <v>16</v>
      </c>
      <c r="Q20" t="str">
        <f>+VLOOKUP(N20,Sheet2!A:A,1,)</f>
        <v>IN01S1502110-00</v>
      </c>
    </row>
    <row r="21" spans="1:17" x14ac:dyDescent="0.25">
      <c r="A21" s="5" t="s">
        <v>314</v>
      </c>
      <c r="B21" s="5">
        <v>17</v>
      </c>
      <c r="C21" s="5" t="s">
        <v>155</v>
      </c>
      <c r="D21" s="5" t="str">
        <f>+VLOOKUP(C21,Sheet1!K:M,3,)</f>
        <v>RES-MO-SMD 15K-1%-0603-100mW-55-155℃-TC100</v>
      </c>
      <c r="E21" s="5"/>
      <c r="F21" s="5"/>
      <c r="G21" s="5">
        <v>15000</v>
      </c>
      <c r="H21" s="5"/>
      <c r="I21" s="5"/>
      <c r="J21" s="5">
        <v>15000</v>
      </c>
      <c r="K21" s="5">
        <f>5000*3</f>
        <v>15000</v>
      </c>
      <c r="L21" s="5">
        <f t="shared" si="0"/>
        <v>0</v>
      </c>
      <c r="N21" s="5" t="str">
        <f t="shared" si="1"/>
        <v>IN01S1502310-00</v>
      </c>
      <c r="O21" s="5">
        <v>17</v>
      </c>
      <c r="Q21" t="str">
        <f>+VLOOKUP(N21,Sheet2!A:A,1,)</f>
        <v>IN01S1502310-00</v>
      </c>
    </row>
    <row r="22" spans="1:17" x14ac:dyDescent="0.25">
      <c r="A22" s="5" t="s">
        <v>314</v>
      </c>
      <c r="B22" s="5">
        <v>18</v>
      </c>
      <c r="C22" s="5" t="s">
        <v>245</v>
      </c>
      <c r="D22" s="5" t="str">
        <f>+VLOOKUP(C22,Sheet1!K:M,3,)</f>
        <v>RES-MO-SMD 150K-1%-1206-250mW-55-155℃-TC100</v>
      </c>
      <c r="E22" s="5"/>
      <c r="F22" s="5"/>
      <c r="G22" s="5"/>
      <c r="H22" s="5">
        <v>25000</v>
      </c>
      <c r="I22" s="5"/>
      <c r="J22" s="5">
        <v>25000</v>
      </c>
      <c r="K22" s="5">
        <f>5000*5</f>
        <v>25000</v>
      </c>
      <c r="L22" s="5">
        <f t="shared" si="0"/>
        <v>0</v>
      </c>
      <c r="N22" s="5" t="str">
        <f t="shared" si="1"/>
        <v>IN01S1503110-00</v>
      </c>
      <c r="O22" s="5">
        <v>18</v>
      </c>
      <c r="Q22" t="str">
        <f>+VLOOKUP(N22,Sheet2!A:A,1,)</f>
        <v>IN01S1503110-00</v>
      </c>
    </row>
    <row r="23" spans="1:17" x14ac:dyDescent="0.25">
      <c r="A23" s="5" t="s">
        <v>314</v>
      </c>
      <c r="B23" s="5">
        <v>19</v>
      </c>
      <c r="C23" s="5" t="s">
        <v>112</v>
      </c>
      <c r="D23" s="5" t="str">
        <f>+VLOOKUP(C23,Sheet1!K:M,3,)</f>
        <v>RES-MO-SMD 150K-1%-0805-125mW-55-155℃-TC100</v>
      </c>
      <c r="E23" s="5"/>
      <c r="F23" s="5">
        <v>5000</v>
      </c>
      <c r="G23" s="5"/>
      <c r="H23" s="5"/>
      <c r="I23" s="5"/>
      <c r="J23" s="5">
        <v>5000</v>
      </c>
      <c r="K23" s="5">
        <f>5000*1</f>
        <v>5000</v>
      </c>
      <c r="L23" s="5">
        <f t="shared" si="0"/>
        <v>0</v>
      </c>
      <c r="N23" s="5" t="str">
        <f t="shared" si="1"/>
        <v>IN01S1503210-00</v>
      </c>
      <c r="O23" s="5">
        <v>19</v>
      </c>
      <c r="Q23" t="str">
        <f>+VLOOKUP(N23,Sheet2!A:A,1,)</f>
        <v>IN01S1503210-00</v>
      </c>
    </row>
    <row r="24" spans="1:17" x14ac:dyDescent="0.25">
      <c r="A24" s="5" t="s">
        <v>314</v>
      </c>
      <c r="B24" s="5">
        <v>20</v>
      </c>
      <c r="C24" s="5" t="s">
        <v>227</v>
      </c>
      <c r="D24" s="5" t="str">
        <f>+VLOOKUP(C24,Sheet1!K:M,3,)</f>
        <v>RES-MO-SMD 150K-1%-0603-100mW-55-155℃-TC100</v>
      </c>
      <c r="E24" s="5"/>
      <c r="F24" s="5"/>
      <c r="G24" s="5"/>
      <c r="H24" s="5">
        <v>15000</v>
      </c>
      <c r="I24" s="5"/>
      <c r="J24" s="5">
        <v>15000</v>
      </c>
      <c r="K24" s="5">
        <f>5000*3</f>
        <v>15000</v>
      </c>
      <c r="L24" s="5">
        <f t="shared" si="0"/>
        <v>0</v>
      </c>
      <c r="N24" s="5" t="str">
        <f t="shared" si="1"/>
        <v>IN01S1503310-00</v>
      </c>
      <c r="O24" s="5">
        <v>20</v>
      </c>
      <c r="Q24" t="str">
        <f>+VLOOKUP(N24,Sheet2!A:A,1,)</f>
        <v>IN01S1503310-00</v>
      </c>
    </row>
    <row r="25" spans="1:17" x14ac:dyDescent="0.25">
      <c r="A25" s="5" t="s">
        <v>314</v>
      </c>
      <c r="B25" s="5">
        <v>21</v>
      </c>
      <c r="C25" s="5" t="s">
        <v>140</v>
      </c>
      <c r="D25" s="5" t="str">
        <f>+VLOOKUP(C25,Sheet1!K:M,3,)</f>
        <v>RES-MO-SMD 160K-1%-0603-100mW-55-155℃-TC100</v>
      </c>
      <c r="E25" s="5"/>
      <c r="F25" s="5">
        <v>10000</v>
      </c>
      <c r="G25" s="5"/>
      <c r="H25" s="5"/>
      <c r="I25" s="5"/>
      <c r="J25" s="5">
        <v>10000</v>
      </c>
      <c r="K25" s="5">
        <f>5000*2</f>
        <v>10000</v>
      </c>
      <c r="L25" s="5">
        <f t="shared" si="0"/>
        <v>0</v>
      </c>
      <c r="N25" s="5" t="str">
        <f t="shared" si="1"/>
        <v>IN01S1603310-00</v>
      </c>
      <c r="O25" s="5">
        <v>21</v>
      </c>
      <c r="Q25" t="str">
        <f>+VLOOKUP(N25,Sheet2!A:A,1,)</f>
        <v>IN01S1603310-00</v>
      </c>
    </row>
    <row r="26" spans="1:17" x14ac:dyDescent="0.25">
      <c r="A26" s="5" t="s">
        <v>314</v>
      </c>
      <c r="B26" s="5">
        <v>22</v>
      </c>
      <c r="C26" s="5" t="s">
        <v>129</v>
      </c>
      <c r="D26" s="5" t="str">
        <f>+VLOOKUP(C26,Sheet1!K:M,3,)</f>
        <v>RES-MO-SMD 18K-1%-0603-100mW-55-155℃-TC100</v>
      </c>
      <c r="E26" s="5"/>
      <c r="F26" s="5">
        <v>30000</v>
      </c>
      <c r="G26" s="5"/>
      <c r="H26" s="5"/>
      <c r="I26" s="5"/>
      <c r="J26" s="5">
        <v>30000</v>
      </c>
      <c r="K26" s="5">
        <f>5000*6</f>
        <v>30000</v>
      </c>
      <c r="L26" s="5">
        <f t="shared" si="0"/>
        <v>0</v>
      </c>
      <c r="N26" s="5" t="str">
        <f t="shared" si="1"/>
        <v>IN01S1802310-00</v>
      </c>
      <c r="O26" s="5">
        <v>22</v>
      </c>
      <c r="Q26" t="str">
        <f>+VLOOKUP(N26,Sheet2!A:A,1,)</f>
        <v>IN01S1802310-00</v>
      </c>
    </row>
    <row r="27" spans="1:17" x14ac:dyDescent="0.25">
      <c r="A27" s="5" t="s">
        <v>314</v>
      </c>
      <c r="B27" s="5">
        <v>23</v>
      </c>
      <c r="C27" s="5" t="s">
        <v>148</v>
      </c>
      <c r="D27" s="5" t="str">
        <f>+VLOOKUP(C27,Sheet1!K:M,3,)</f>
        <v>RES-MO-SMD 2K-1%-0603-100mW-55-155℃-TC100</v>
      </c>
      <c r="E27" s="5"/>
      <c r="F27" s="5">
        <v>10000</v>
      </c>
      <c r="G27" s="5"/>
      <c r="H27" s="5"/>
      <c r="I27" s="5"/>
      <c r="J27" s="5">
        <v>10000</v>
      </c>
      <c r="K27" s="5">
        <f>5000*2</f>
        <v>10000</v>
      </c>
      <c r="L27" s="5">
        <f t="shared" si="0"/>
        <v>0</v>
      </c>
      <c r="N27" s="5" t="str">
        <f t="shared" si="1"/>
        <v>IN01S2001310-00</v>
      </c>
      <c r="O27" s="5">
        <v>23</v>
      </c>
      <c r="Q27" t="str">
        <f>+VLOOKUP(N27,Sheet2!A:A,1,)</f>
        <v>IN01S2001310-00</v>
      </c>
    </row>
    <row r="28" spans="1:17" x14ac:dyDescent="0.25">
      <c r="A28" s="5" t="s">
        <v>314</v>
      </c>
      <c r="B28" s="5">
        <v>24</v>
      </c>
      <c r="C28" s="5" t="s">
        <v>229</v>
      </c>
      <c r="D28" s="5" t="str">
        <f>+VLOOKUP(C28,Sheet1!K:M,3,)</f>
        <v>RES-MO-SMD 20K-1%-0603-100mW-55-155℃-TC100</v>
      </c>
      <c r="E28" s="5"/>
      <c r="F28" s="5"/>
      <c r="G28" s="5"/>
      <c r="H28" s="5">
        <v>15000</v>
      </c>
      <c r="I28" s="5"/>
      <c r="J28" s="5">
        <v>15000</v>
      </c>
      <c r="K28" s="5">
        <f>5000*3</f>
        <v>15000</v>
      </c>
      <c r="L28" s="5">
        <f t="shared" si="0"/>
        <v>0</v>
      </c>
      <c r="N28" s="5" t="str">
        <f t="shared" si="1"/>
        <v>IN01S2002310-00</v>
      </c>
      <c r="O28" s="5">
        <v>24</v>
      </c>
      <c r="Q28" t="str">
        <f>+VLOOKUP(N28,Sheet2!A:A,1,)</f>
        <v>IN01S2002310-00</v>
      </c>
    </row>
    <row r="29" spans="1:17" x14ac:dyDescent="0.25">
      <c r="A29" s="5" t="s">
        <v>314</v>
      </c>
      <c r="B29" s="5">
        <v>25</v>
      </c>
      <c r="C29" s="5" t="s">
        <v>196</v>
      </c>
      <c r="D29" s="5" t="str">
        <f>+VLOOKUP(C29,Sheet1!K:M,3,)</f>
        <v>RES-MO-SMD 200K-1%-0603-100mW-55-155℃-TC100</v>
      </c>
      <c r="E29" s="5"/>
      <c r="F29" s="5"/>
      <c r="G29" s="5">
        <v>15000</v>
      </c>
      <c r="H29" s="5"/>
      <c r="I29" s="5"/>
      <c r="J29" s="5">
        <v>15000</v>
      </c>
      <c r="K29" s="5">
        <f>5000*3</f>
        <v>15000</v>
      </c>
      <c r="L29" s="5">
        <f t="shared" si="0"/>
        <v>0</v>
      </c>
      <c r="N29" s="5" t="str">
        <f t="shared" si="1"/>
        <v>IN01S2003310-00</v>
      </c>
      <c r="O29" s="5">
        <v>25</v>
      </c>
      <c r="Q29" t="str">
        <f>+VLOOKUP(N29,Sheet2!A:A,1,)</f>
        <v>IN01S2003310-00</v>
      </c>
    </row>
    <row r="30" spans="1:17" x14ac:dyDescent="0.25">
      <c r="A30" s="5" t="s">
        <v>314</v>
      </c>
      <c r="B30" s="5">
        <v>26</v>
      </c>
      <c r="C30" s="5" t="s">
        <v>151</v>
      </c>
      <c r="D30" s="5" t="str">
        <f>+VLOOKUP(C30,Sheet1!K:M,3,)</f>
        <v>RES-MO-SMD 2M-1%-0603-100mW-55-155℃-TC100</v>
      </c>
      <c r="E30" s="5"/>
      <c r="F30" s="5"/>
      <c r="G30" s="5">
        <v>10000</v>
      </c>
      <c r="H30" s="5"/>
      <c r="I30" s="5"/>
      <c r="J30" s="5">
        <v>10000</v>
      </c>
      <c r="K30" s="5">
        <f>5000*2</f>
        <v>10000</v>
      </c>
      <c r="L30" s="5">
        <f t="shared" si="0"/>
        <v>0</v>
      </c>
      <c r="N30" s="5" t="str">
        <f t="shared" si="1"/>
        <v>IN01S2004310-00</v>
      </c>
      <c r="O30" s="5">
        <v>26</v>
      </c>
      <c r="Q30" t="str">
        <f>+VLOOKUP(N30,Sheet2!A:A,1,)</f>
        <v>IN01S2004310-00</v>
      </c>
    </row>
    <row r="31" spans="1:17" x14ac:dyDescent="0.25">
      <c r="A31" s="5" t="s">
        <v>314</v>
      </c>
      <c r="B31" s="5">
        <v>27</v>
      </c>
      <c r="C31" s="5" t="s">
        <v>119</v>
      </c>
      <c r="D31" s="5" t="str">
        <f>+VLOOKUP(C31,Sheet1!K:M,3,)</f>
        <v>RES-Anti Surge-SMD 20R-5%-1206-250mW-55-155℃-TC200</v>
      </c>
      <c r="E31" s="5"/>
      <c r="F31" s="5">
        <v>40000</v>
      </c>
      <c r="G31" s="5"/>
      <c r="H31" s="5"/>
      <c r="I31" s="5"/>
      <c r="J31" s="5">
        <v>40000</v>
      </c>
      <c r="K31" s="5">
        <f>5000*8</f>
        <v>40000</v>
      </c>
      <c r="L31" s="5">
        <f t="shared" si="0"/>
        <v>0</v>
      </c>
      <c r="N31" s="5" t="str">
        <f t="shared" si="1"/>
        <v>IN01S2007121-02</v>
      </c>
      <c r="O31" s="5">
        <v>27</v>
      </c>
      <c r="Q31" t="str">
        <f>+VLOOKUP(N31,Sheet2!A:A,1,)</f>
        <v>IN01S2007121-02</v>
      </c>
    </row>
    <row r="32" spans="1:17" x14ac:dyDescent="0.25">
      <c r="A32" s="5" t="s">
        <v>314</v>
      </c>
      <c r="B32" s="5">
        <v>28</v>
      </c>
      <c r="C32" s="5" t="s">
        <v>183</v>
      </c>
      <c r="D32" s="5" t="str">
        <f>+VLOOKUP(C32,Sheet1!K:M,3,)</f>
        <v>RES-MO-SMD 2K2-1%-0603-100mW-55-155℃-TC100</v>
      </c>
      <c r="E32" s="5"/>
      <c r="F32" s="5"/>
      <c r="G32" s="5">
        <v>5000</v>
      </c>
      <c r="H32" s="5"/>
      <c r="I32" s="5"/>
      <c r="J32" s="5">
        <v>5000</v>
      </c>
      <c r="K32" s="5">
        <f>5000*1</f>
        <v>5000</v>
      </c>
      <c r="L32" s="5">
        <f t="shared" si="0"/>
        <v>0</v>
      </c>
      <c r="N32" s="5" t="str">
        <f t="shared" si="1"/>
        <v>IN01S2201310-00</v>
      </c>
      <c r="O32" s="5">
        <v>28</v>
      </c>
      <c r="Q32" t="str">
        <f>+VLOOKUP(N32,Sheet2!A:A,1,)</f>
        <v>IN01S2201310-00</v>
      </c>
    </row>
    <row r="33" spans="1:17" x14ac:dyDescent="0.25">
      <c r="A33" s="5" t="s">
        <v>314</v>
      </c>
      <c r="B33" s="5">
        <v>29</v>
      </c>
      <c r="C33" s="5" t="s">
        <v>185</v>
      </c>
      <c r="D33" s="5" t="str">
        <f>+VLOOKUP(C33,Sheet1!K:M,3,)</f>
        <v>RES-MO-SMD 22K-1%-0603-100mW-55-155℃-TC100</v>
      </c>
      <c r="E33" s="5"/>
      <c r="F33" s="5"/>
      <c r="G33" s="5">
        <v>10000</v>
      </c>
      <c r="H33" s="5"/>
      <c r="I33" s="5"/>
      <c r="J33" s="5">
        <v>10000</v>
      </c>
      <c r="K33" s="5">
        <f>5000*2</f>
        <v>10000</v>
      </c>
      <c r="L33" s="5">
        <f t="shared" si="0"/>
        <v>0</v>
      </c>
      <c r="N33" s="5" t="str">
        <f t="shared" si="1"/>
        <v>IN01S2202310-00</v>
      </c>
      <c r="O33" s="5">
        <v>29</v>
      </c>
      <c r="Q33" t="str">
        <f>+VLOOKUP(N33,Sheet2!A:A,1,)</f>
        <v>IN01S2202310-00</v>
      </c>
    </row>
    <row r="34" spans="1:17" x14ac:dyDescent="0.25">
      <c r="A34" s="5" t="s">
        <v>314</v>
      </c>
      <c r="B34" s="5">
        <v>30</v>
      </c>
      <c r="C34" s="5" t="s">
        <v>255</v>
      </c>
      <c r="D34" s="5" t="str">
        <f>+VLOOKUP(C34,Sheet1!K:M,3,)</f>
        <v>RES-MO-SMD 220K-1%-1206-250mW-55-155℃-TC100</v>
      </c>
      <c r="E34" s="5"/>
      <c r="F34" s="5"/>
      <c r="G34" s="5"/>
      <c r="H34" s="5">
        <v>25000</v>
      </c>
      <c r="I34" s="5"/>
      <c r="J34" s="5">
        <v>25000</v>
      </c>
      <c r="K34" s="5">
        <f>5000*5</f>
        <v>25000</v>
      </c>
      <c r="L34" s="5">
        <f t="shared" si="0"/>
        <v>0</v>
      </c>
      <c r="N34" s="5" t="str">
        <f t="shared" si="1"/>
        <v>IN01S2203110-00</v>
      </c>
      <c r="O34" s="5">
        <v>30</v>
      </c>
      <c r="Q34" t="str">
        <f>+VLOOKUP(N34,Sheet2!A:A,1,)</f>
        <v>IN01S2203110-00</v>
      </c>
    </row>
    <row r="35" spans="1:17" x14ac:dyDescent="0.25">
      <c r="A35" s="5" t="s">
        <v>314</v>
      </c>
      <c r="B35" s="5">
        <v>31</v>
      </c>
      <c r="C35" s="5" t="s">
        <v>110</v>
      </c>
      <c r="D35" s="5" t="str">
        <f>+VLOOKUP(C35,Sheet1!K:M,3,)</f>
        <v>RES-MO-SMD 2K4-1%-0603-100mW-55-155℃-TC100</v>
      </c>
      <c r="E35" s="5"/>
      <c r="F35" s="5">
        <v>5000</v>
      </c>
      <c r="G35" s="5"/>
      <c r="H35" s="5"/>
      <c r="I35" s="5"/>
      <c r="J35" s="5">
        <v>5000</v>
      </c>
      <c r="K35" s="5">
        <f>5000*1</f>
        <v>5000</v>
      </c>
      <c r="L35" s="5">
        <f t="shared" si="0"/>
        <v>0</v>
      </c>
      <c r="N35" s="5" t="str">
        <f t="shared" si="1"/>
        <v>IN01S2401310-00</v>
      </c>
      <c r="O35" s="5">
        <v>31</v>
      </c>
      <c r="Q35" t="str">
        <f>+VLOOKUP(N35,Sheet2!A:A,1,)</f>
        <v>IN01S2401310-00</v>
      </c>
    </row>
    <row r="36" spans="1:17" x14ac:dyDescent="0.25">
      <c r="A36" s="5" t="s">
        <v>314</v>
      </c>
      <c r="B36" s="5">
        <v>32</v>
      </c>
      <c r="C36" s="5" t="s">
        <v>251</v>
      </c>
      <c r="D36" s="5" t="str">
        <f>+VLOOKUP(C36,Sheet1!K:M,3,)</f>
        <v>RES-MO-SMD 24K-1%-0603-100mW-55-155℃-TC100</v>
      </c>
      <c r="E36" s="5"/>
      <c r="F36" s="5"/>
      <c r="G36" s="5"/>
      <c r="H36" s="5">
        <v>15000</v>
      </c>
      <c r="I36" s="5"/>
      <c r="J36" s="5">
        <v>15000</v>
      </c>
      <c r="K36" s="5">
        <f>5000*3</f>
        <v>15000</v>
      </c>
      <c r="L36" s="5">
        <f t="shared" si="0"/>
        <v>0</v>
      </c>
      <c r="N36" s="5" t="str">
        <f t="shared" si="1"/>
        <v>IN01S2402310-00</v>
      </c>
      <c r="O36" s="5">
        <v>32</v>
      </c>
      <c r="Q36" t="str">
        <f>+VLOOKUP(N36,Sheet2!A:A,1,)</f>
        <v>IN01S2402310-00</v>
      </c>
    </row>
    <row r="37" spans="1:17" x14ac:dyDescent="0.25">
      <c r="A37" s="5" t="s">
        <v>314</v>
      </c>
      <c r="B37" s="5">
        <v>33</v>
      </c>
      <c r="C37" s="5" t="s">
        <v>165</v>
      </c>
      <c r="D37" s="5" t="str">
        <f>+VLOOKUP(C37,Sheet1!K:M,3,)</f>
        <v>RES-MO-SMD 240K-1%-1206-250mW-55-155℃-TC100</v>
      </c>
      <c r="E37" s="5"/>
      <c r="F37" s="5"/>
      <c r="G37" s="5">
        <v>25000</v>
      </c>
      <c r="H37" s="5"/>
      <c r="I37" s="5"/>
      <c r="J37" s="5">
        <v>25000</v>
      </c>
      <c r="K37" s="5">
        <f>5000*5</f>
        <v>25000</v>
      </c>
      <c r="L37" s="5">
        <f t="shared" si="0"/>
        <v>0</v>
      </c>
      <c r="N37" s="5" t="str">
        <f t="shared" si="1"/>
        <v>IN01S2403110-00</v>
      </c>
      <c r="O37" s="5">
        <v>33</v>
      </c>
      <c r="Q37" t="str">
        <f>+VLOOKUP(N37,Sheet2!A:A,1,)</f>
        <v>IN01S2403110-00</v>
      </c>
    </row>
    <row r="38" spans="1:17" x14ac:dyDescent="0.25">
      <c r="A38" s="5" t="s">
        <v>314</v>
      </c>
      <c r="B38" s="5">
        <v>34</v>
      </c>
      <c r="C38" s="5" t="s">
        <v>278</v>
      </c>
      <c r="D38" s="5" t="str">
        <f>+VLOOKUP(C38,Sheet1!K:M,3,)</f>
        <v>RES-MO-SMD 240K-1%-0603-100mW-55-155℃-TC100</v>
      </c>
      <c r="E38" s="5"/>
      <c r="F38" s="5"/>
      <c r="G38" s="5"/>
      <c r="H38" s="5">
        <v>10000</v>
      </c>
      <c r="I38" s="5"/>
      <c r="J38" s="5">
        <v>10000</v>
      </c>
      <c r="K38" s="5">
        <f>5000*2</f>
        <v>10000</v>
      </c>
      <c r="L38" s="5">
        <f t="shared" si="0"/>
        <v>0</v>
      </c>
      <c r="N38" s="5" t="str">
        <f t="shared" si="1"/>
        <v>IN01S2403310-00</v>
      </c>
      <c r="O38" s="5">
        <v>34</v>
      </c>
      <c r="Q38" t="str">
        <f>+VLOOKUP(N38,Sheet2!A:A,1,)</f>
        <v>IN01S2403310-00</v>
      </c>
    </row>
    <row r="39" spans="1:17" x14ac:dyDescent="0.25">
      <c r="A39" s="5" t="s">
        <v>314</v>
      </c>
      <c r="B39" s="5">
        <v>35</v>
      </c>
      <c r="C39" s="5" t="s">
        <v>211</v>
      </c>
      <c r="D39" s="5" t="str">
        <f>+VLOOKUP(C39,Sheet1!K:M,3,)</f>
        <v>RES-MO-SMD 2M4-1%-1206-250mW-55-155℃-TC100</v>
      </c>
      <c r="E39" s="5"/>
      <c r="F39" s="5"/>
      <c r="G39" s="5">
        <v>50000</v>
      </c>
      <c r="H39" s="5"/>
      <c r="I39" s="5"/>
      <c r="J39" s="5">
        <v>50000</v>
      </c>
      <c r="K39" s="5">
        <f>5000*10</f>
        <v>50000</v>
      </c>
      <c r="L39" s="5">
        <f t="shared" si="0"/>
        <v>0</v>
      </c>
      <c r="N39" s="5" t="str">
        <f t="shared" si="1"/>
        <v>IN01S2404110-00</v>
      </c>
      <c r="O39" s="5">
        <v>35</v>
      </c>
      <c r="Q39" t="str">
        <f>+VLOOKUP(N39,Sheet2!A:A,1,)</f>
        <v>IN01S2404110-00</v>
      </c>
    </row>
    <row r="40" spans="1:17" x14ac:dyDescent="0.25">
      <c r="A40" s="5" t="s">
        <v>314</v>
      </c>
      <c r="B40" s="5">
        <v>36</v>
      </c>
      <c r="C40" s="5" t="s">
        <v>171</v>
      </c>
      <c r="D40" s="5" t="str">
        <f>+VLOOKUP(C40,Sheet1!K:M,3,)</f>
        <v>RES-MO-SMD 27K-1%-0603-100mW-55-155℃-TC100</v>
      </c>
      <c r="E40" s="5"/>
      <c r="F40" s="5"/>
      <c r="G40" s="5">
        <v>10000</v>
      </c>
      <c r="H40" s="5"/>
      <c r="I40" s="5"/>
      <c r="J40" s="5">
        <v>10000</v>
      </c>
      <c r="K40" s="5">
        <f>5000*2</f>
        <v>10000</v>
      </c>
      <c r="L40" s="5">
        <f t="shared" si="0"/>
        <v>0</v>
      </c>
      <c r="N40" s="5" t="str">
        <f t="shared" si="1"/>
        <v>IN01S2702310-00</v>
      </c>
      <c r="O40" s="5">
        <v>36</v>
      </c>
      <c r="Q40" t="str">
        <f>+VLOOKUP(N40,Sheet2!A:A,1,)</f>
        <v>IN01S2702310-00</v>
      </c>
    </row>
    <row r="41" spans="1:17" x14ac:dyDescent="0.25">
      <c r="A41" s="5" t="s">
        <v>314</v>
      </c>
      <c r="B41" s="5">
        <v>37</v>
      </c>
      <c r="C41" s="5" t="s">
        <v>260</v>
      </c>
      <c r="D41" s="5" t="str">
        <f>+VLOOKUP(C41,Sheet1!K:M,3,)</f>
        <v>RES-MO-SMD 3K-1%-0603-100mW-55-155℃-TC100</v>
      </c>
      <c r="E41" s="5"/>
      <c r="F41" s="5"/>
      <c r="G41" s="5"/>
      <c r="H41" s="5">
        <v>5000</v>
      </c>
      <c r="I41" s="5"/>
      <c r="J41" s="5">
        <v>5000</v>
      </c>
      <c r="K41" s="5">
        <f>5000*1</f>
        <v>5000</v>
      </c>
      <c r="L41" s="5">
        <f t="shared" si="0"/>
        <v>0</v>
      </c>
      <c r="N41" s="5" t="str">
        <f t="shared" si="1"/>
        <v>IN01S3001310-00</v>
      </c>
      <c r="O41" s="5">
        <v>37</v>
      </c>
      <c r="Q41" t="str">
        <f>+VLOOKUP(N41,Sheet2!A:A,1,)</f>
        <v>IN01S3001310-00</v>
      </c>
    </row>
    <row r="42" spans="1:17" x14ac:dyDescent="0.25">
      <c r="A42" s="5" t="s">
        <v>314</v>
      </c>
      <c r="B42" s="5">
        <v>38</v>
      </c>
      <c r="C42" s="5" t="s">
        <v>173</v>
      </c>
      <c r="D42" s="5" t="str">
        <f>+VLOOKUP(C42,Sheet1!K:M,3,)</f>
        <v>RES-MO-SMD 30K-1%-0603-100mW-55-155℃-TC100</v>
      </c>
      <c r="E42" s="5"/>
      <c r="F42" s="5"/>
      <c r="G42" s="5">
        <v>25000</v>
      </c>
      <c r="H42" s="5"/>
      <c r="I42" s="5"/>
      <c r="J42" s="5">
        <v>25000</v>
      </c>
      <c r="K42" s="5">
        <f>5000*5</f>
        <v>25000</v>
      </c>
      <c r="L42" s="5">
        <f t="shared" si="0"/>
        <v>0</v>
      </c>
      <c r="N42" s="5" t="str">
        <f t="shared" si="1"/>
        <v>IN01S3002310-00</v>
      </c>
      <c r="O42" s="5">
        <v>38</v>
      </c>
      <c r="Q42" t="str">
        <f>+VLOOKUP(N42,Sheet2!A:A,1,)</f>
        <v>IN01S3002310-00</v>
      </c>
    </row>
    <row r="43" spans="1:17" x14ac:dyDescent="0.25">
      <c r="A43" s="5" t="s">
        <v>314</v>
      </c>
      <c r="B43" s="5">
        <v>39</v>
      </c>
      <c r="C43" s="5" t="s">
        <v>167</v>
      </c>
      <c r="D43" s="5" t="str">
        <f>+VLOOKUP(C43,Sheet1!K:M,3,)</f>
        <v>RES-MO-SMD 300K-1%-1206-250mW-55-155℃-TC100</v>
      </c>
      <c r="E43" s="5"/>
      <c r="F43" s="5"/>
      <c r="G43" s="5">
        <v>30000</v>
      </c>
      <c r="H43" s="5"/>
      <c r="I43" s="5"/>
      <c r="J43" s="5">
        <v>30000</v>
      </c>
      <c r="K43" s="5">
        <f>5000*6</f>
        <v>30000</v>
      </c>
      <c r="L43" s="5">
        <f t="shared" si="0"/>
        <v>0</v>
      </c>
      <c r="N43" s="5" t="str">
        <f t="shared" si="1"/>
        <v>IN01S3003110-00</v>
      </c>
      <c r="O43" s="5">
        <v>39</v>
      </c>
      <c r="Q43" t="str">
        <f>+VLOOKUP(N43,Sheet2!A:A,1,)</f>
        <v>IN01S3003110-00</v>
      </c>
    </row>
    <row r="44" spans="1:17" x14ac:dyDescent="0.25">
      <c r="A44" s="5" t="s">
        <v>314</v>
      </c>
      <c r="B44" s="5">
        <v>40</v>
      </c>
      <c r="C44" s="5" t="s">
        <v>169</v>
      </c>
      <c r="D44" s="5" t="str">
        <f>+VLOOKUP(C44,Sheet1!K:M,3,)</f>
        <v>RES-MO-SMD 300K-1%-0603-100mW-55-155℃-TC100</v>
      </c>
      <c r="E44" s="5"/>
      <c r="F44" s="5"/>
      <c r="G44" s="5">
        <v>20000</v>
      </c>
      <c r="H44" s="5"/>
      <c r="I44" s="5"/>
      <c r="J44" s="5">
        <v>20000</v>
      </c>
      <c r="K44" s="5">
        <f>5000*4</f>
        <v>20000</v>
      </c>
      <c r="L44" s="5">
        <f t="shared" si="0"/>
        <v>0</v>
      </c>
      <c r="N44" s="5" t="str">
        <f t="shared" si="1"/>
        <v>IN01S3003310-00</v>
      </c>
      <c r="O44" s="5">
        <v>40</v>
      </c>
      <c r="Q44" t="str">
        <f>+VLOOKUP(N44,Sheet2!A:A,1,)</f>
        <v>IN01S3003310-00</v>
      </c>
    </row>
    <row r="45" spans="1:17" x14ac:dyDescent="0.25">
      <c r="A45" s="5" t="s">
        <v>314</v>
      </c>
      <c r="B45" s="5">
        <v>41</v>
      </c>
      <c r="C45" s="5" t="s">
        <v>189</v>
      </c>
      <c r="D45" s="5" t="str">
        <f>+VLOOKUP(C45,Sheet1!K:M,3,)</f>
        <v>RES-MO-SMD 3M-1%-0603-100mW-55-155℃-TC100</v>
      </c>
      <c r="E45" s="5"/>
      <c r="F45" s="5"/>
      <c r="G45" s="5">
        <v>10000</v>
      </c>
      <c r="H45" s="5"/>
      <c r="I45" s="5"/>
      <c r="J45" s="5">
        <v>10000</v>
      </c>
      <c r="K45" s="5">
        <f>5000*2</f>
        <v>10000</v>
      </c>
      <c r="L45" s="5">
        <f t="shared" si="0"/>
        <v>0</v>
      </c>
      <c r="N45" s="5" t="str">
        <f t="shared" si="1"/>
        <v>IN01S3004310-00</v>
      </c>
      <c r="O45" s="5">
        <v>41</v>
      </c>
      <c r="Q45" t="str">
        <f>+VLOOKUP(N45,Sheet2!A:A,1,)</f>
        <v>IN01S3004310-00</v>
      </c>
    </row>
    <row r="46" spans="1:17" x14ac:dyDescent="0.25">
      <c r="A46" s="5" t="s">
        <v>314</v>
      </c>
      <c r="B46" s="5">
        <v>42</v>
      </c>
      <c r="C46" s="5" t="s">
        <v>191</v>
      </c>
      <c r="D46" s="5" t="str">
        <f>+VLOOKUP(C46,Sheet1!K:M,3,)</f>
        <v>RES-MO-SMD 3K3-1%-0603-100mW-55-155℃-TC100</v>
      </c>
      <c r="E46" s="5"/>
      <c r="F46" s="5"/>
      <c r="G46" s="5">
        <v>10000</v>
      </c>
      <c r="H46" s="5"/>
      <c r="I46" s="5"/>
      <c r="J46" s="5">
        <v>10000</v>
      </c>
      <c r="K46" s="5">
        <f>5000*2</f>
        <v>10000</v>
      </c>
      <c r="L46" s="5">
        <f t="shared" si="0"/>
        <v>0</v>
      </c>
      <c r="N46" s="5" t="str">
        <f t="shared" si="1"/>
        <v>IN01S3301310-00</v>
      </c>
      <c r="O46" s="5">
        <v>42</v>
      </c>
      <c r="Q46" t="str">
        <f>+VLOOKUP(N46,Sheet2!A:A,1,)</f>
        <v>IN01S3301310-00</v>
      </c>
    </row>
    <row r="47" spans="1:17" x14ac:dyDescent="0.25">
      <c r="A47" s="5" t="s">
        <v>314</v>
      </c>
      <c r="B47" s="5">
        <v>43</v>
      </c>
      <c r="C47" s="5" t="s">
        <v>153</v>
      </c>
      <c r="D47" s="5" t="str">
        <f>+VLOOKUP(C47,Sheet1!K:M,3,)</f>
        <v>RES-MO-SMD 3K6-1%-0603-100mW-55-155℃-TC100</v>
      </c>
      <c r="E47" s="5"/>
      <c r="F47" s="5"/>
      <c r="G47" s="5">
        <v>20000</v>
      </c>
      <c r="H47" s="5"/>
      <c r="I47" s="5"/>
      <c r="J47" s="5">
        <v>20000</v>
      </c>
      <c r="K47" s="5">
        <f>5000*4</f>
        <v>20000</v>
      </c>
      <c r="L47" s="5">
        <f t="shared" si="0"/>
        <v>0</v>
      </c>
      <c r="N47" s="5" t="str">
        <f t="shared" si="1"/>
        <v>IN01S3601310-00</v>
      </c>
      <c r="O47" s="5">
        <v>43</v>
      </c>
      <c r="Q47" t="str">
        <f>+VLOOKUP(N47,Sheet2!A:A,1,)</f>
        <v>IN01S3601310-00</v>
      </c>
    </row>
    <row r="48" spans="1:17" x14ac:dyDescent="0.25">
      <c r="A48" s="5" t="s">
        <v>314</v>
      </c>
      <c r="B48" s="5">
        <v>44</v>
      </c>
      <c r="C48" s="5" t="s">
        <v>144</v>
      </c>
      <c r="D48" s="5" t="str">
        <f>+VLOOKUP(C48,Sheet1!K:M,3,)</f>
        <v>RES-MO-SMD 36K-1%-1206-250mW-55-155℃-TC100</v>
      </c>
      <c r="E48" s="5"/>
      <c r="F48" s="5">
        <v>10000</v>
      </c>
      <c r="G48" s="5"/>
      <c r="H48" s="5"/>
      <c r="I48" s="5"/>
      <c r="J48" s="5">
        <v>10000</v>
      </c>
      <c r="K48" s="5">
        <f>5000*2</f>
        <v>10000</v>
      </c>
      <c r="L48" s="5">
        <f t="shared" si="0"/>
        <v>0</v>
      </c>
      <c r="N48" s="5" t="str">
        <f t="shared" si="1"/>
        <v>IN01S3602110-00</v>
      </c>
      <c r="O48" s="5">
        <v>44</v>
      </c>
      <c r="Q48" t="str">
        <f>+VLOOKUP(N48,Sheet2!A:A,1,)</f>
        <v>IN01S3602110-00</v>
      </c>
    </row>
    <row r="49" spans="1:17" x14ac:dyDescent="0.25">
      <c r="A49" s="5" t="s">
        <v>314</v>
      </c>
      <c r="B49" s="5">
        <v>45</v>
      </c>
      <c r="C49" s="5" t="s">
        <v>127</v>
      </c>
      <c r="D49" s="5" t="str">
        <f>+VLOOKUP(C49,Sheet1!K:M,3,)</f>
        <v>RES-MO-SMD 4K3-1%-0603-100mW-55-155℃-TC100</v>
      </c>
      <c r="E49" s="5"/>
      <c r="F49" s="5">
        <v>5000</v>
      </c>
      <c r="G49" s="5"/>
      <c r="H49" s="5"/>
      <c r="I49" s="5"/>
      <c r="J49" s="5">
        <v>5000</v>
      </c>
      <c r="K49" s="5">
        <f>5000*1</f>
        <v>5000</v>
      </c>
      <c r="L49" s="5">
        <f t="shared" si="0"/>
        <v>0</v>
      </c>
      <c r="N49" s="5" t="str">
        <f t="shared" si="1"/>
        <v>IN01S4301310-00</v>
      </c>
      <c r="O49" s="5">
        <v>45</v>
      </c>
      <c r="Q49" t="str">
        <f>+VLOOKUP(N49,Sheet2!A:A,1,)</f>
        <v>IN01S4301310-00</v>
      </c>
    </row>
    <row r="50" spans="1:17" x14ac:dyDescent="0.25">
      <c r="A50" s="5" t="s">
        <v>314</v>
      </c>
      <c r="B50" s="5">
        <v>46</v>
      </c>
      <c r="C50" s="5" t="s">
        <v>175</v>
      </c>
      <c r="D50" s="5" t="str">
        <f>+VLOOKUP(C50,Sheet1!K:M,3,)</f>
        <v>RES-MO-SMD 43K-1%-0603-100mW-55-155℃-TC100</v>
      </c>
      <c r="E50" s="5"/>
      <c r="F50" s="5"/>
      <c r="G50" s="5">
        <v>10000</v>
      </c>
      <c r="H50" s="5"/>
      <c r="I50" s="5"/>
      <c r="J50" s="5">
        <v>10000</v>
      </c>
      <c r="K50" s="5">
        <f>5000*2</f>
        <v>10000</v>
      </c>
      <c r="L50" s="5">
        <f t="shared" si="0"/>
        <v>0</v>
      </c>
      <c r="N50" s="5" t="str">
        <f t="shared" si="1"/>
        <v>IN01S4302310-00</v>
      </c>
      <c r="O50" s="5">
        <v>46</v>
      </c>
      <c r="Q50" t="str">
        <f>+VLOOKUP(N50,Sheet2!A:A,1,)</f>
        <v>IN01S4302310-00</v>
      </c>
    </row>
    <row r="51" spans="1:17" x14ac:dyDescent="0.25">
      <c r="A51" s="5" t="s">
        <v>314</v>
      </c>
      <c r="B51" s="5">
        <v>47</v>
      </c>
      <c r="C51" s="5" t="s">
        <v>215</v>
      </c>
      <c r="D51" s="5" t="str">
        <f>+VLOOKUP(C51,Sheet1!K:M,3,)</f>
        <v>RES-Anti Surge-SMD 47R-5%-1206-250mW-55-155℃-TC200</v>
      </c>
      <c r="E51" s="5"/>
      <c r="F51" s="5"/>
      <c r="G51" s="5">
        <v>15000</v>
      </c>
      <c r="H51" s="5"/>
      <c r="I51" s="5"/>
      <c r="J51" s="5">
        <v>15000</v>
      </c>
      <c r="K51" s="5">
        <f>5000*3</f>
        <v>15000</v>
      </c>
      <c r="L51" s="5">
        <f t="shared" si="0"/>
        <v>0</v>
      </c>
      <c r="N51" s="5" t="str">
        <f t="shared" si="1"/>
        <v>IN01S4707121-02</v>
      </c>
      <c r="O51" s="5">
        <v>47</v>
      </c>
      <c r="Q51" t="str">
        <f>+VLOOKUP(N51,Sheet2!A:A,1,)</f>
        <v>IN01S4707121-02</v>
      </c>
    </row>
    <row r="52" spans="1:17" x14ac:dyDescent="0.25">
      <c r="A52" s="5" t="s">
        <v>314</v>
      </c>
      <c r="B52" s="5">
        <v>48</v>
      </c>
      <c r="C52" s="5" t="s">
        <v>114</v>
      </c>
      <c r="D52" s="5" t="str">
        <f>+VLOOKUP(C52,Sheet1!K:M,3,)</f>
        <v>RES-MO-SMD 510R-1%-0603-100mW-55-155℃-TC100</v>
      </c>
      <c r="E52" s="5"/>
      <c r="F52" s="5">
        <v>5000</v>
      </c>
      <c r="G52" s="5"/>
      <c r="H52" s="5"/>
      <c r="I52" s="5"/>
      <c r="J52" s="5">
        <v>5000</v>
      </c>
      <c r="K52" s="5">
        <f>5000*1</f>
        <v>5000</v>
      </c>
      <c r="L52" s="5">
        <f t="shared" si="0"/>
        <v>0</v>
      </c>
      <c r="N52" s="5" t="str">
        <f t="shared" si="1"/>
        <v>IN01S5100310-00</v>
      </c>
      <c r="O52" s="5">
        <v>48</v>
      </c>
      <c r="Q52" t="str">
        <f>+VLOOKUP(N52,Sheet2!A:A,1,)</f>
        <v>IN01S5100310-00</v>
      </c>
    </row>
    <row r="53" spans="1:17" x14ac:dyDescent="0.25">
      <c r="A53" s="5" t="s">
        <v>314</v>
      </c>
      <c r="B53" s="5">
        <v>49</v>
      </c>
      <c r="C53" s="5" t="s">
        <v>209</v>
      </c>
      <c r="D53" s="5" t="str">
        <f>+VLOOKUP(C53,Sheet1!K:M,3,)</f>
        <v>RES-MO-SMD 5K1-1%-0603-100mW-55-155℃-TC100</v>
      </c>
      <c r="E53" s="5"/>
      <c r="F53" s="5"/>
      <c r="G53" s="5">
        <v>10000</v>
      </c>
      <c r="H53" s="5"/>
      <c r="I53" s="5"/>
      <c r="J53" s="5">
        <v>10000</v>
      </c>
      <c r="K53" s="5">
        <f>5000*2</f>
        <v>10000</v>
      </c>
      <c r="L53" s="5">
        <f t="shared" si="0"/>
        <v>0</v>
      </c>
      <c r="N53" s="5" t="str">
        <f t="shared" si="1"/>
        <v>IN01S5101310-00</v>
      </c>
      <c r="O53" s="5">
        <v>49</v>
      </c>
      <c r="Q53" t="str">
        <f>+VLOOKUP(N53,Sheet2!A:A,1,)</f>
        <v>IN01S5101310-00</v>
      </c>
    </row>
    <row r="54" spans="1:17" x14ac:dyDescent="0.25">
      <c r="A54" s="5" t="s">
        <v>314</v>
      </c>
      <c r="B54" s="5">
        <v>50</v>
      </c>
      <c r="C54" s="5" t="s">
        <v>284</v>
      </c>
      <c r="D54" s="5" t="str">
        <f>+VLOOKUP(C54,Sheet1!K:M,3,)</f>
        <v>RES-MO-SMD 51K-1%-0603-100mW-55-155℃-TC100</v>
      </c>
      <c r="E54" s="5"/>
      <c r="F54" s="5"/>
      <c r="G54" s="5"/>
      <c r="H54" s="5">
        <v>20000</v>
      </c>
      <c r="I54" s="5"/>
      <c r="J54" s="5">
        <v>20000</v>
      </c>
      <c r="K54" s="5">
        <f>5000*4</f>
        <v>20000</v>
      </c>
      <c r="L54" s="5">
        <f t="shared" si="0"/>
        <v>0</v>
      </c>
      <c r="N54" s="5" t="str">
        <f t="shared" si="1"/>
        <v>IN01S5102310-00</v>
      </c>
      <c r="O54" s="5">
        <v>50</v>
      </c>
      <c r="Q54" t="str">
        <f>+VLOOKUP(N54,Sheet2!A:A,1,)</f>
        <v>IN01S5102310-00</v>
      </c>
    </row>
    <row r="55" spans="1:17" x14ac:dyDescent="0.25">
      <c r="A55" s="5" t="s">
        <v>314</v>
      </c>
      <c r="B55" s="5">
        <v>51</v>
      </c>
      <c r="C55" s="5" t="s">
        <v>293</v>
      </c>
      <c r="D55" s="5" t="str">
        <f>+VLOOKUP(C55,Sheet1!K:M,3,)</f>
        <v>RES-MO-SMD 510K-1%-1206-250mW-55-155℃-TC100</v>
      </c>
      <c r="E55" s="5"/>
      <c r="F55" s="5"/>
      <c r="G55" s="5"/>
      <c r="H55" s="5">
        <v>15000</v>
      </c>
      <c r="I55" s="5"/>
      <c r="J55" s="5">
        <v>15000</v>
      </c>
      <c r="K55" s="5">
        <f>5000*3</f>
        <v>15000</v>
      </c>
      <c r="L55" s="5">
        <f t="shared" si="0"/>
        <v>0</v>
      </c>
      <c r="N55" s="5" t="str">
        <f t="shared" si="1"/>
        <v>IN01S5103111-00</v>
      </c>
      <c r="O55" s="5">
        <v>51</v>
      </c>
      <c r="Q55" t="str">
        <f>+VLOOKUP(N55,Sheet2!A:A,1,)</f>
        <v>IN01S5103111-00</v>
      </c>
    </row>
    <row r="56" spans="1:17" x14ac:dyDescent="0.25">
      <c r="A56" s="5" t="s">
        <v>314</v>
      </c>
      <c r="B56" s="5">
        <v>52</v>
      </c>
      <c r="C56" s="5" t="s">
        <v>273</v>
      </c>
      <c r="D56" s="5" t="str">
        <f>+VLOOKUP(C56,Sheet1!K:M,3,)</f>
        <v>RES-MO-SMD 51R-1%-1206-250mW-55-155℃-TC100</v>
      </c>
      <c r="E56" s="5"/>
      <c r="F56" s="5"/>
      <c r="G56" s="5"/>
      <c r="H56" s="5">
        <v>15000</v>
      </c>
      <c r="I56" s="5"/>
      <c r="J56" s="5">
        <v>15000</v>
      </c>
      <c r="K56" s="5">
        <f>5000*3</f>
        <v>15000</v>
      </c>
      <c r="L56" s="5">
        <f t="shared" si="0"/>
        <v>0</v>
      </c>
      <c r="N56" s="5" t="str">
        <f t="shared" si="1"/>
        <v>IN01S5107110-00</v>
      </c>
      <c r="O56" s="5">
        <v>52</v>
      </c>
      <c r="Q56" t="str">
        <f>+VLOOKUP(N56,Sheet2!A:A,1,)</f>
        <v>IN01S5107110-00</v>
      </c>
    </row>
    <row r="57" spans="1:17" x14ac:dyDescent="0.25">
      <c r="A57" s="5" t="s">
        <v>314</v>
      </c>
      <c r="B57" s="5">
        <v>53</v>
      </c>
      <c r="C57" s="5" t="s">
        <v>125</v>
      </c>
      <c r="D57" s="5" t="str">
        <f>+VLOOKUP(C57,Sheet1!K:M,3,)</f>
        <v>RES-Anti Surge-SMD 5R1-5%-1206-250mW-55-155℃-TC400</v>
      </c>
      <c r="E57" s="5"/>
      <c r="F57" s="5">
        <v>5000</v>
      </c>
      <c r="G57" s="5"/>
      <c r="H57" s="5"/>
      <c r="I57" s="5"/>
      <c r="J57" s="5">
        <v>5000</v>
      </c>
      <c r="K57" s="5">
        <f>5000*1</f>
        <v>5000</v>
      </c>
      <c r="L57" s="5">
        <f t="shared" si="0"/>
        <v>0</v>
      </c>
      <c r="N57" s="5" t="str">
        <f t="shared" si="1"/>
        <v>IN01S5108121-02</v>
      </c>
      <c r="O57" s="5">
        <v>53</v>
      </c>
      <c r="Q57" t="str">
        <f>+VLOOKUP(N57,Sheet2!A:A,1,)</f>
        <v>IN01S5108121-02</v>
      </c>
    </row>
    <row r="58" spans="1:17" x14ac:dyDescent="0.25">
      <c r="A58" s="5" t="s">
        <v>314</v>
      </c>
      <c r="B58" s="5">
        <v>54</v>
      </c>
      <c r="C58" s="5" t="s">
        <v>269</v>
      </c>
      <c r="D58" s="5" t="str">
        <f>+VLOOKUP(C58,Sheet1!K:M,3,)</f>
        <v>RES-Anti Surge-SMD 56R-5%-1206-250mW-55-155℃-TC200</v>
      </c>
      <c r="E58" s="5"/>
      <c r="F58" s="5"/>
      <c r="G58" s="5"/>
      <c r="H58" s="5">
        <v>25000</v>
      </c>
      <c r="I58" s="5"/>
      <c r="J58" s="5">
        <v>25000</v>
      </c>
      <c r="K58" s="5">
        <f>5000*5</f>
        <v>25000</v>
      </c>
      <c r="L58" s="5">
        <f t="shared" si="0"/>
        <v>0</v>
      </c>
      <c r="N58" s="5" t="str">
        <f t="shared" si="1"/>
        <v>IN01S5607121-02</v>
      </c>
      <c r="O58" s="5">
        <v>54</v>
      </c>
      <c r="Q58" t="str">
        <f>+VLOOKUP(N58,Sheet2!A:A,1,)</f>
        <v>IN01S5607121-02</v>
      </c>
    </row>
    <row r="59" spans="1:17" x14ac:dyDescent="0.25">
      <c r="A59" s="5" t="s">
        <v>314</v>
      </c>
      <c r="B59" s="5">
        <v>55</v>
      </c>
      <c r="C59" s="5" t="s">
        <v>267</v>
      </c>
      <c r="D59" s="5" t="str">
        <f>+VLOOKUP(C59,Sheet1!K:M,3,)</f>
        <v>RES-MO-SMD 6K8-1%-0603-100mW-55-155℃-TC100</v>
      </c>
      <c r="E59" s="5"/>
      <c r="F59" s="5"/>
      <c r="G59" s="5"/>
      <c r="H59" s="5">
        <v>10000</v>
      </c>
      <c r="I59" s="5"/>
      <c r="J59" s="5">
        <v>10000</v>
      </c>
      <c r="K59" s="5">
        <f>5000*2</f>
        <v>10000</v>
      </c>
      <c r="L59" s="5">
        <f t="shared" si="0"/>
        <v>0</v>
      </c>
      <c r="N59" s="5" t="str">
        <f t="shared" si="1"/>
        <v>IN01S6801310-00</v>
      </c>
      <c r="O59" s="5">
        <v>55</v>
      </c>
      <c r="Q59" t="str">
        <f>+VLOOKUP(N59,Sheet2!A:A,1,)</f>
        <v>IN01S6801310-00</v>
      </c>
    </row>
    <row r="60" spans="1:17" x14ac:dyDescent="0.25">
      <c r="A60" s="5" t="s">
        <v>314</v>
      </c>
      <c r="B60" s="5">
        <v>56</v>
      </c>
      <c r="C60" s="5" t="s">
        <v>146</v>
      </c>
      <c r="D60" s="5" t="str">
        <f>+VLOOKUP(C60,Sheet1!K:M,3,)</f>
        <v>RES-MO-SMD 68K-1%-1206-250mW-55-155℃-TC100</v>
      </c>
      <c r="E60" s="5"/>
      <c r="F60" s="5">
        <v>10000</v>
      </c>
      <c r="G60" s="5"/>
      <c r="H60" s="5"/>
      <c r="I60" s="5"/>
      <c r="J60" s="5">
        <v>10000</v>
      </c>
      <c r="K60" s="5">
        <f>5000*2</f>
        <v>10000</v>
      </c>
      <c r="L60" s="5">
        <f t="shared" si="0"/>
        <v>0</v>
      </c>
      <c r="N60" s="5" t="str">
        <f t="shared" si="1"/>
        <v>IN01S6802110-00</v>
      </c>
      <c r="O60" s="5">
        <v>56</v>
      </c>
      <c r="Q60" t="str">
        <f>+VLOOKUP(N60,Sheet2!A:A,1,)</f>
        <v>IN01S6802110-00</v>
      </c>
    </row>
    <row r="61" spans="1:17" x14ac:dyDescent="0.25">
      <c r="A61" s="5" t="s">
        <v>314</v>
      </c>
      <c r="B61" s="5">
        <v>57</v>
      </c>
      <c r="C61" s="5" t="s">
        <v>243</v>
      </c>
      <c r="D61" s="5" t="str">
        <f>+VLOOKUP(C61,Sheet1!K:M,3,)</f>
        <v>RES-MO-SMD 750R-1%-0603-100mW-55-155℃-TC100</v>
      </c>
      <c r="E61" s="5"/>
      <c r="F61" s="5"/>
      <c r="G61" s="5"/>
      <c r="H61" s="5">
        <v>10000</v>
      </c>
      <c r="I61" s="5"/>
      <c r="J61" s="5">
        <v>10000</v>
      </c>
      <c r="K61" s="5">
        <f>5000*2</f>
        <v>10000</v>
      </c>
      <c r="L61" s="5">
        <f t="shared" si="0"/>
        <v>0</v>
      </c>
      <c r="N61" s="5" t="str">
        <f t="shared" si="1"/>
        <v>IN01S7500310-00</v>
      </c>
      <c r="O61" s="5">
        <v>57</v>
      </c>
      <c r="Q61" t="str">
        <f>+VLOOKUP(N61,Sheet2!A:A,1,)</f>
        <v>IN01S7500310-00</v>
      </c>
    </row>
    <row r="62" spans="1:17" x14ac:dyDescent="0.25">
      <c r="A62" s="5" t="s">
        <v>314</v>
      </c>
      <c r="B62" s="5">
        <v>58</v>
      </c>
      <c r="C62" s="5" t="s">
        <v>286</v>
      </c>
      <c r="D62" s="5" t="str">
        <f>+VLOOKUP(C62,Sheet1!K:M,3,)</f>
        <v>RES-MO-SMD 7K5-1%-1206-250mW-55-155℃-TC100</v>
      </c>
      <c r="E62" s="5"/>
      <c r="F62" s="5"/>
      <c r="G62" s="5"/>
      <c r="H62" s="5">
        <v>10000</v>
      </c>
      <c r="I62" s="5"/>
      <c r="J62" s="5">
        <v>10000</v>
      </c>
      <c r="K62" s="5">
        <f>5000*2</f>
        <v>10000</v>
      </c>
      <c r="L62" s="5">
        <f t="shared" si="0"/>
        <v>0</v>
      </c>
      <c r="N62" s="5" t="str">
        <f t="shared" si="1"/>
        <v>IN01S7501110-00</v>
      </c>
      <c r="O62" s="5">
        <v>58</v>
      </c>
      <c r="Q62" t="str">
        <f>+VLOOKUP(N62,Sheet2!A:A,1,)</f>
        <v>IN01S7501110-00</v>
      </c>
    </row>
    <row r="63" spans="1:17" x14ac:dyDescent="0.25">
      <c r="A63" s="5" t="s">
        <v>314</v>
      </c>
      <c r="B63" s="5">
        <v>59</v>
      </c>
      <c r="C63" s="5" t="s">
        <v>288</v>
      </c>
      <c r="D63" s="5" t="str">
        <f>+VLOOKUP(C63,Sheet1!K:M,3,)</f>
        <v>RES-MO-SMD 7K5-1%-0603-100mW-55-155℃-TC100</v>
      </c>
      <c r="E63" s="5"/>
      <c r="F63" s="5"/>
      <c r="G63" s="5"/>
      <c r="H63" s="5">
        <v>20000</v>
      </c>
      <c r="I63" s="5"/>
      <c r="J63" s="5">
        <v>20000</v>
      </c>
      <c r="K63" s="5">
        <f>5000*4</f>
        <v>20000</v>
      </c>
      <c r="L63" s="5">
        <f t="shared" si="0"/>
        <v>0</v>
      </c>
      <c r="N63" s="5" t="str">
        <f t="shared" si="1"/>
        <v>IN01S7501310-00</v>
      </c>
      <c r="O63" s="5">
        <v>59</v>
      </c>
      <c r="Q63" t="str">
        <f>+VLOOKUP(N63,Sheet2!A:A,1,)</f>
        <v>IN01S7501310-00</v>
      </c>
    </row>
    <row r="64" spans="1:17" x14ac:dyDescent="0.25">
      <c r="A64" s="5" t="s">
        <v>314</v>
      </c>
      <c r="B64" s="5">
        <v>60</v>
      </c>
      <c r="C64" s="5" t="s">
        <v>138</v>
      </c>
      <c r="D64" s="5" t="str">
        <f>+VLOOKUP(C64,Sheet1!K:M,3,)</f>
        <v>RES-MO-SMD 75K-1%-0603-100mW-55-155℃-TC100</v>
      </c>
      <c r="E64" s="5"/>
      <c r="F64" s="5">
        <v>5000</v>
      </c>
      <c r="G64" s="5"/>
      <c r="H64" s="5"/>
      <c r="I64" s="5"/>
      <c r="J64" s="5">
        <v>5000</v>
      </c>
      <c r="K64" s="5">
        <f>5000*1</f>
        <v>5000</v>
      </c>
      <c r="L64" s="5">
        <f t="shared" si="0"/>
        <v>0</v>
      </c>
      <c r="N64" s="5" t="str">
        <f t="shared" si="1"/>
        <v>IN01S7502310-00</v>
      </c>
      <c r="O64" s="5">
        <v>60</v>
      </c>
      <c r="Q64" t="str">
        <f>+VLOOKUP(N64,Sheet2!A:A,1,)</f>
        <v>IN01S7502310-00</v>
      </c>
    </row>
    <row r="65" spans="1:17" x14ac:dyDescent="0.25">
      <c r="A65" s="5" t="s">
        <v>314</v>
      </c>
      <c r="B65" s="5">
        <v>61</v>
      </c>
      <c r="C65" s="5" t="s">
        <v>282</v>
      </c>
      <c r="D65" s="5" t="str">
        <f>+VLOOKUP(C65,Sheet1!K:M,3,)</f>
        <v>RES-MO-SMD 750K-1%-1206-250mW-55-155℃-TC100</v>
      </c>
      <c r="E65" s="5"/>
      <c r="F65" s="5"/>
      <c r="G65" s="5"/>
      <c r="H65" s="5">
        <v>35000</v>
      </c>
      <c r="I65" s="5"/>
      <c r="J65" s="5">
        <v>35000</v>
      </c>
      <c r="K65" s="5">
        <f>5000*2+5000*5</f>
        <v>35000</v>
      </c>
      <c r="L65" s="5">
        <f t="shared" si="0"/>
        <v>0</v>
      </c>
      <c r="N65" s="5" t="str">
        <f t="shared" si="1"/>
        <v>IN01S7503111-00</v>
      </c>
      <c r="O65" s="5">
        <v>61</v>
      </c>
      <c r="Q65" t="str">
        <f>+VLOOKUP(N65,Sheet2!A:A,1,)</f>
        <v>IN01S7503111-00</v>
      </c>
    </row>
    <row r="66" spans="1:17" x14ac:dyDescent="0.25">
      <c r="A66" s="5" t="s">
        <v>314</v>
      </c>
      <c r="B66" s="5">
        <v>62</v>
      </c>
      <c r="C66" s="5" t="s">
        <v>84</v>
      </c>
      <c r="D66" s="5" t="str">
        <f>+VLOOKUP(C66,Sheet1!K:M,3,)</f>
        <v>RES-MO-SMD 8K2-1%-0603-100mW-55-155℃-TC100</v>
      </c>
      <c r="E66" s="5">
        <v>5000</v>
      </c>
      <c r="F66" s="5"/>
      <c r="G66" s="5"/>
      <c r="H66" s="5"/>
      <c r="I66" s="5"/>
      <c r="J66" s="5">
        <v>5000</v>
      </c>
      <c r="K66" s="5">
        <f>5000*1</f>
        <v>5000</v>
      </c>
      <c r="L66" s="5">
        <f t="shared" si="0"/>
        <v>0</v>
      </c>
      <c r="N66" s="5" t="str">
        <f t="shared" si="1"/>
        <v>IN01S8201310-00</v>
      </c>
      <c r="O66" s="5">
        <v>62</v>
      </c>
      <c r="Q66" t="str">
        <f>+VLOOKUP(N66,Sheet2!A:A,1,)</f>
        <v>IN01S8201310-00</v>
      </c>
    </row>
    <row r="67" spans="1:17" x14ac:dyDescent="0.25">
      <c r="A67" s="5" t="s">
        <v>314</v>
      </c>
      <c r="B67" s="5">
        <v>63</v>
      </c>
      <c r="C67" s="5" t="s">
        <v>108</v>
      </c>
      <c r="D67" s="5" t="str">
        <f>+VLOOKUP(C67,Sheet1!K:M,3,)</f>
        <v>RES-MO-SMD 91K-1%-0603-100mW-55-155℃-TC100</v>
      </c>
      <c r="E67" s="5"/>
      <c r="F67" s="5">
        <v>10000</v>
      </c>
      <c r="G67" s="5"/>
      <c r="H67" s="5"/>
      <c r="I67" s="5"/>
      <c r="J67" s="5">
        <v>10000</v>
      </c>
      <c r="K67" s="5">
        <f>5000*2</f>
        <v>10000</v>
      </c>
      <c r="L67" s="5">
        <f t="shared" si="0"/>
        <v>0</v>
      </c>
      <c r="N67" s="5" t="str">
        <f t="shared" si="1"/>
        <v>IN01S9102310-00</v>
      </c>
      <c r="O67" s="5">
        <v>63</v>
      </c>
      <c r="Q67" t="str">
        <f>+VLOOKUP(N67,Sheet2!A:A,1,)</f>
        <v>IN01S9102310-00</v>
      </c>
    </row>
    <row r="68" spans="1:17" x14ac:dyDescent="0.25">
      <c r="A68" s="5" t="s">
        <v>314</v>
      </c>
      <c r="B68" s="5">
        <v>64</v>
      </c>
      <c r="C68" s="5" t="s">
        <v>123</v>
      </c>
      <c r="D68" s="5" t="str">
        <f>+VLOOKUP(C68,Sheet1!K:M,3,)</f>
        <v>RES-MO-SMD 910K-1%-1206-250mW-55-155℃-TC100</v>
      </c>
      <c r="E68" s="5"/>
      <c r="F68" s="5">
        <v>10000</v>
      </c>
      <c r="G68" s="5"/>
      <c r="H68" s="5"/>
      <c r="I68" s="5"/>
      <c r="J68" s="5">
        <v>10000</v>
      </c>
      <c r="K68" s="5">
        <f>5000*2</f>
        <v>10000</v>
      </c>
      <c r="L68" s="5">
        <f t="shared" si="0"/>
        <v>0</v>
      </c>
      <c r="N68" s="5" t="str">
        <f t="shared" si="1"/>
        <v>IN01S9103110-00</v>
      </c>
      <c r="O68" s="5">
        <v>64</v>
      </c>
      <c r="Q68" t="str">
        <f>+VLOOKUP(N68,Sheet2!A:A,1,)</f>
        <v>IN01S9103110-00</v>
      </c>
    </row>
    <row r="69" spans="1:17" x14ac:dyDescent="0.25">
      <c r="A69" s="5" t="s">
        <v>314</v>
      </c>
      <c r="B69" s="5">
        <v>65</v>
      </c>
      <c r="C69" s="5" t="s">
        <v>32</v>
      </c>
      <c r="D69" s="5" t="str">
        <f>+VLOOKUP(C69,Sheet1!K:M,3,)</f>
        <v>CAP-CER-SMD 100P-5%-50V-0603-COG</v>
      </c>
      <c r="E69" s="5">
        <v>4000</v>
      </c>
      <c r="F69" s="5"/>
      <c r="G69" s="5"/>
      <c r="H69" s="5"/>
      <c r="I69" s="5"/>
      <c r="J69" s="5">
        <v>4000</v>
      </c>
      <c r="K69" s="5">
        <f>4000*1</f>
        <v>4000</v>
      </c>
      <c r="L69" s="5">
        <f t="shared" si="0"/>
        <v>0</v>
      </c>
      <c r="N69" s="5" t="str">
        <f t="shared" si="1"/>
        <v>IN02S1010520-00</v>
      </c>
      <c r="O69" s="5">
        <v>65</v>
      </c>
      <c r="Q69" t="str">
        <f>+VLOOKUP(N69,Sheet2!A:A,1,)</f>
        <v>IN02S1010520-00</v>
      </c>
    </row>
    <row r="70" spans="1:17" x14ac:dyDescent="0.25">
      <c r="A70" s="5" t="s">
        <v>314</v>
      </c>
      <c r="B70" s="5">
        <v>66</v>
      </c>
      <c r="C70" s="5" t="s">
        <v>90</v>
      </c>
      <c r="D70" s="5" t="str">
        <f>+VLOOKUP(C70,Sheet1!K:M,3,)</f>
        <v>CAP-CER-SMD 100P-5%-1000V-1206-COG</v>
      </c>
      <c r="E70" s="5">
        <v>21000</v>
      </c>
      <c r="F70" s="5"/>
      <c r="G70" s="5"/>
      <c r="H70" s="5"/>
      <c r="I70" s="5"/>
      <c r="J70" s="5">
        <v>21000</v>
      </c>
      <c r="K70" s="5">
        <f>3000*7</f>
        <v>21000</v>
      </c>
      <c r="L70" s="5">
        <f t="shared" ref="L70:L118" si="2">+K70-J70</f>
        <v>0</v>
      </c>
      <c r="N70" s="5" t="str">
        <f t="shared" ref="N70:N116" si="3">+CONCATENATE(A70,C70)</f>
        <v>IN02S1012180-00</v>
      </c>
      <c r="O70" s="5">
        <v>66</v>
      </c>
      <c r="Q70" t="str">
        <f>+VLOOKUP(N70,Sheet2!A:A,1,)</f>
        <v>IN02S1012180-00</v>
      </c>
    </row>
    <row r="71" spans="1:17" x14ac:dyDescent="0.25">
      <c r="A71" s="5" t="s">
        <v>314</v>
      </c>
      <c r="B71" s="5">
        <v>67</v>
      </c>
      <c r="C71" s="5" t="s">
        <v>45</v>
      </c>
      <c r="D71" s="5" t="str">
        <f>+VLOOKUP(C71,Sheet1!K:M,3,)</f>
        <v>CAP-CER-Y1-SMD 1N-20%-400V-Y5U-7.8*5.4*2.45</v>
      </c>
      <c r="E71" s="5">
        <v>3000</v>
      </c>
      <c r="F71" s="5"/>
      <c r="G71" s="5"/>
      <c r="H71" s="5"/>
      <c r="I71" s="5"/>
      <c r="J71" s="5">
        <v>3000</v>
      </c>
      <c r="K71" s="5">
        <f>3000*1</f>
        <v>3000</v>
      </c>
      <c r="L71" s="5">
        <f t="shared" si="2"/>
        <v>0</v>
      </c>
      <c r="N71" s="5" t="str">
        <f t="shared" si="3"/>
        <v>IN02S1021501-37</v>
      </c>
      <c r="O71" s="5">
        <v>67</v>
      </c>
      <c r="Q71" t="str">
        <f>+VLOOKUP(N71,Sheet2!A:A,1,)</f>
        <v>IN02S1021501-37</v>
      </c>
    </row>
    <row r="72" spans="1:17" x14ac:dyDescent="0.25">
      <c r="A72" s="5" t="s">
        <v>314</v>
      </c>
      <c r="B72" s="5">
        <v>68</v>
      </c>
      <c r="C72" s="5" t="s">
        <v>62</v>
      </c>
      <c r="D72" s="5" t="str">
        <f>+VLOOKUP(C72,Sheet1!K:M,3,)</f>
        <v>CAP-CER-SMD 1N-10%-630V-1206-X7R</v>
      </c>
      <c r="E72" s="5">
        <v>3000</v>
      </c>
      <c r="F72" s="5"/>
      <c r="G72" s="5"/>
      <c r="H72" s="5"/>
      <c r="I72" s="5"/>
      <c r="J72" s="5">
        <v>3000</v>
      </c>
      <c r="K72" s="5">
        <f>3000*1</f>
        <v>3000</v>
      </c>
      <c r="L72" s="5">
        <f t="shared" si="2"/>
        <v>0</v>
      </c>
      <c r="N72" s="5" t="str">
        <f t="shared" si="3"/>
        <v>IN02S1021990-00</v>
      </c>
      <c r="O72" s="5">
        <v>68</v>
      </c>
      <c r="Q72" t="str">
        <f>+VLOOKUP(N72,Sheet2!A:A,1,)</f>
        <v>IN02S1021990-00</v>
      </c>
    </row>
    <row r="73" spans="1:17" x14ac:dyDescent="0.25">
      <c r="A73" s="5" t="s">
        <v>314</v>
      </c>
      <c r="B73" s="5">
        <v>69</v>
      </c>
      <c r="C73" s="5" t="s">
        <v>71</v>
      </c>
      <c r="D73" s="5" t="str">
        <f>+VLOOKUP(C73,Sheet1!K:M,3,)</f>
        <v>CAP-CER-SMD 10N-10%-50V-0603-X7R</v>
      </c>
      <c r="E73" s="5">
        <v>20000</v>
      </c>
      <c r="F73" s="5"/>
      <c r="G73" s="5"/>
      <c r="H73" s="5"/>
      <c r="I73" s="5"/>
      <c r="J73" s="5">
        <v>20000</v>
      </c>
      <c r="K73" s="5">
        <f>4000*5</f>
        <v>20000</v>
      </c>
      <c r="L73" s="5">
        <f t="shared" si="2"/>
        <v>0</v>
      </c>
      <c r="N73" s="5" t="str">
        <f t="shared" si="3"/>
        <v>IN02S1030530-00</v>
      </c>
      <c r="O73" s="5">
        <v>69</v>
      </c>
      <c r="Q73" t="str">
        <f>+VLOOKUP(N73,Sheet2!A:A,1,)</f>
        <v>IN02S1030530-00</v>
      </c>
    </row>
    <row r="74" spans="1:17" x14ac:dyDescent="0.25">
      <c r="A74" s="5" t="s">
        <v>314</v>
      </c>
      <c r="B74" s="5">
        <v>70</v>
      </c>
      <c r="C74" s="5" t="s">
        <v>221</v>
      </c>
      <c r="D74" s="5" t="str">
        <f>+VLOOKUP(C74,Sheet1!K:M,3,)</f>
        <v>CAP-CER-SMD 10N-10%-1000V-1206-X7R</v>
      </c>
      <c r="E74" s="5"/>
      <c r="F74" s="5"/>
      <c r="G74" s="5"/>
      <c r="H74" s="5">
        <v>48000</v>
      </c>
      <c r="I74" s="5"/>
      <c r="J74" s="5">
        <v>48000</v>
      </c>
      <c r="K74" s="5">
        <f>3000*10+3000*6</f>
        <v>48000</v>
      </c>
      <c r="L74" s="5">
        <f t="shared" si="2"/>
        <v>0</v>
      </c>
      <c r="N74" s="5" t="str">
        <f t="shared" si="3"/>
        <v>IN02S1032180-00</v>
      </c>
      <c r="O74" s="5">
        <v>70</v>
      </c>
      <c r="Q74" t="str">
        <f>+VLOOKUP(N74,Sheet2!A:A,1,)</f>
        <v>IN02S1032180-00</v>
      </c>
    </row>
    <row r="75" spans="1:17" x14ac:dyDescent="0.25">
      <c r="A75" s="5" t="s">
        <v>314</v>
      </c>
      <c r="B75" s="5">
        <v>71</v>
      </c>
      <c r="C75" s="5" t="s">
        <v>262</v>
      </c>
      <c r="D75" s="5" t="str">
        <f>+VLOOKUP(C75,Sheet1!K:M,3,)</f>
        <v>CAP-CER-SMD 100N-10%-50V-0603-X7R</v>
      </c>
      <c r="E75" s="5"/>
      <c r="F75" s="5"/>
      <c r="G75" s="5"/>
      <c r="H75" s="5">
        <v>48000</v>
      </c>
      <c r="I75" s="5"/>
      <c r="J75" s="5">
        <v>48000</v>
      </c>
      <c r="K75" s="5">
        <f>4000*12</f>
        <v>48000</v>
      </c>
      <c r="L75" s="5">
        <f t="shared" si="2"/>
        <v>0</v>
      </c>
      <c r="N75" s="5" t="str">
        <f t="shared" si="3"/>
        <v>IN02S1040530-00</v>
      </c>
      <c r="O75" s="5">
        <v>71</v>
      </c>
      <c r="Q75" t="str">
        <f>+VLOOKUP(N75,Sheet2!A:A,1,)</f>
        <v>IN02S1040530-00</v>
      </c>
    </row>
    <row r="76" spans="1:17" x14ac:dyDescent="0.25">
      <c r="A76" s="5" t="s">
        <v>314</v>
      </c>
      <c r="B76" s="5">
        <v>72</v>
      </c>
      <c r="C76" s="5" t="s">
        <v>142</v>
      </c>
      <c r="D76" s="5" t="str">
        <f>+VLOOKUP(C76,Sheet1!K:M,3,)</f>
        <v>CAP-CER-SMD 100N-10%-100V-0805-X7R</v>
      </c>
      <c r="E76" s="5"/>
      <c r="F76" s="5">
        <v>9000</v>
      </c>
      <c r="G76" s="5"/>
      <c r="H76" s="5"/>
      <c r="I76" s="5"/>
      <c r="J76" s="5">
        <v>9000</v>
      </c>
      <c r="K76" s="5">
        <f>3000*3</f>
        <v>9000</v>
      </c>
      <c r="L76" s="5">
        <f t="shared" si="2"/>
        <v>0</v>
      </c>
      <c r="N76" s="5" t="str">
        <f t="shared" si="3"/>
        <v>IN02S1040860-00</v>
      </c>
      <c r="O76" s="5">
        <v>72</v>
      </c>
      <c r="Q76" t="str">
        <f>+VLOOKUP(N76,Sheet2!A:A,1,)</f>
        <v>IN02S1040860-00</v>
      </c>
    </row>
    <row r="77" spans="1:17" x14ac:dyDescent="0.25">
      <c r="A77" s="5" t="s">
        <v>314</v>
      </c>
      <c r="B77" s="5">
        <v>73</v>
      </c>
      <c r="C77" s="5" t="s">
        <v>133</v>
      </c>
      <c r="D77" s="5" t="str">
        <f>+VLOOKUP(C77,Sheet1!K:M,3,)</f>
        <v>CAP-CER-SMD 100N-10%-250V-1206-X7R</v>
      </c>
      <c r="E77" s="5"/>
      <c r="F77" s="5">
        <v>2000</v>
      </c>
      <c r="G77" s="5"/>
      <c r="H77" s="5"/>
      <c r="I77" s="5"/>
      <c r="J77" s="5">
        <v>2000</v>
      </c>
      <c r="K77" s="5">
        <f>2000*1</f>
        <v>2000</v>
      </c>
      <c r="L77" s="5">
        <f t="shared" si="2"/>
        <v>0</v>
      </c>
      <c r="N77" s="5" t="str">
        <f t="shared" si="3"/>
        <v>IN02S1041290-00</v>
      </c>
      <c r="O77" s="5">
        <v>73</v>
      </c>
      <c r="Q77" t="str">
        <f>+VLOOKUP(N77,Sheet2!A:A,1,)</f>
        <v>IN02S1041290-00</v>
      </c>
    </row>
    <row r="78" spans="1:17" x14ac:dyDescent="0.25">
      <c r="A78" s="5" t="s">
        <v>314</v>
      </c>
      <c r="B78" s="5">
        <v>74</v>
      </c>
      <c r="C78" s="5" t="s">
        <v>241</v>
      </c>
      <c r="D78" s="5" t="str">
        <f>+VLOOKUP(C78,Sheet1!K:M,3,)</f>
        <v>CAP-CER-SMD 1U-10%-16V-0603-X7R</v>
      </c>
      <c r="E78" s="5"/>
      <c r="F78" s="5"/>
      <c r="G78" s="5"/>
      <c r="H78" s="5">
        <v>16000</v>
      </c>
      <c r="I78" s="5"/>
      <c r="J78" s="5">
        <v>16000</v>
      </c>
      <c r="K78" s="5">
        <f>4000*4</f>
        <v>16000</v>
      </c>
      <c r="L78" s="5">
        <f t="shared" si="2"/>
        <v>0</v>
      </c>
      <c r="N78" s="5" t="str">
        <f t="shared" si="3"/>
        <v>IN02S1050230-00</v>
      </c>
      <c r="O78" s="5">
        <v>74</v>
      </c>
      <c r="Q78" t="str">
        <f>+VLOOKUP(N78,Sheet2!A:A,1,)</f>
        <v>IN02S1050230-00</v>
      </c>
    </row>
    <row r="79" spans="1:17" x14ac:dyDescent="0.25">
      <c r="A79" s="5" t="s">
        <v>314</v>
      </c>
      <c r="B79" s="5">
        <v>75</v>
      </c>
      <c r="C79" s="5" t="s">
        <v>157</v>
      </c>
      <c r="D79" s="5" t="str">
        <f>+VLOOKUP(C79,Sheet1!K:M,3,)</f>
        <v>CAP-CER-SMD 1U-10%-100V-1206-X7R</v>
      </c>
      <c r="E79" s="5"/>
      <c r="F79" s="5"/>
      <c r="G79" s="5">
        <v>8000</v>
      </c>
      <c r="H79" s="5"/>
      <c r="I79" s="5"/>
      <c r="J79" s="5">
        <v>8000</v>
      </c>
      <c r="K79" s="5">
        <f>2000*4</f>
        <v>8000</v>
      </c>
      <c r="L79" s="5">
        <f t="shared" si="2"/>
        <v>0</v>
      </c>
      <c r="N79" s="5" t="str">
        <f t="shared" si="3"/>
        <v>IN02S1050801-00</v>
      </c>
      <c r="O79" s="5">
        <v>75</v>
      </c>
      <c r="Q79" t="str">
        <f>+VLOOKUP(N79,Sheet2!A:A,1,)</f>
        <v>IN02S1050801-00</v>
      </c>
    </row>
    <row r="80" spans="1:17" x14ac:dyDescent="0.25">
      <c r="A80" s="5" t="s">
        <v>314</v>
      </c>
      <c r="B80" s="5">
        <v>76</v>
      </c>
      <c r="C80" s="5" t="s">
        <v>205</v>
      </c>
      <c r="D80" s="5" t="str">
        <f>+VLOOKUP(C80,Sheet1!K:M,3,)</f>
        <v>CAP-CER-SMD 220P-5%-50V-0603-COG</v>
      </c>
      <c r="E80" s="5"/>
      <c r="F80" s="5"/>
      <c r="G80" s="5">
        <v>16000</v>
      </c>
      <c r="H80" s="5"/>
      <c r="I80" s="5"/>
      <c r="J80" s="5">
        <v>16000</v>
      </c>
      <c r="K80" s="5">
        <f>4000*4</f>
        <v>16000</v>
      </c>
      <c r="L80" s="5">
        <f t="shared" si="2"/>
        <v>0</v>
      </c>
      <c r="N80" s="5" t="str">
        <f t="shared" si="3"/>
        <v>IN02S2210510-00</v>
      </c>
      <c r="O80" s="5">
        <v>76</v>
      </c>
      <c r="Q80" t="str">
        <f>+VLOOKUP(N80,Sheet2!A:A,1,)</f>
        <v>IN02S2210510-00</v>
      </c>
    </row>
    <row r="81" spans="1:17" x14ac:dyDescent="0.25">
      <c r="A81" s="5" t="s">
        <v>314</v>
      </c>
      <c r="B81" s="5">
        <v>77</v>
      </c>
      <c r="C81" s="5" t="s">
        <v>249</v>
      </c>
      <c r="D81" s="5" t="str">
        <f>+VLOOKUP(C81,Sheet1!K:M,3,)</f>
        <v>CAP-CER-SMD 220P-5%-1000V-1206-COG</v>
      </c>
      <c r="E81" s="5"/>
      <c r="F81" s="5"/>
      <c r="G81" s="5"/>
      <c r="H81" s="5">
        <v>6000</v>
      </c>
      <c r="I81" s="5"/>
      <c r="J81" s="5">
        <v>6000</v>
      </c>
      <c r="K81" s="5">
        <f>2000*3</f>
        <v>6000</v>
      </c>
      <c r="L81" s="5">
        <f t="shared" si="2"/>
        <v>0</v>
      </c>
      <c r="N81" s="5" t="str">
        <f t="shared" si="3"/>
        <v>IN02S2212191-00</v>
      </c>
      <c r="O81" s="5">
        <v>77</v>
      </c>
      <c r="Q81" t="str">
        <f>+VLOOKUP(N81,Sheet2!A:A,1,)</f>
        <v>IN02S2212191-00</v>
      </c>
    </row>
    <row r="82" spans="1:17" x14ac:dyDescent="0.25">
      <c r="A82" s="5" t="s">
        <v>314</v>
      </c>
      <c r="B82" s="5">
        <v>78</v>
      </c>
      <c r="C82" s="5" t="s">
        <v>280</v>
      </c>
      <c r="D82" s="5" t="str">
        <f>+VLOOKUP(C82,Sheet1!K:M,3,)</f>
        <v>CAP-CER-SMD 220N-10%-25V-0603-X7R</v>
      </c>
      <c r="E82" s="5"/>
      <c r="F82" s="5"/>
      <c r="G82" s="5"/>
      <c r="H82" s="5">
        <v>8000</v>
      </c>
      <c r="I82" s="5"/>
      <c r="J82" s="5">
        <v>8000</v>
      </c>
      <c r="K82" s="5">
        <f>4000*2</f>
        <v>8000</v>
      </c>
      <c r="L82" s="5">
        <f t="shared" si="2"/>
        <v>0</v>
      </c>
      <c r="N82" s="5" t="str">
        <f t="shared" si="3"/>
        <v>IN02S2240330-00</v>
      </c>
      <c r="O82" s="5">
        <v>78</v>
      </c>
      <c r="Q82" t="str">
        <f>+VLOOKUP(N82,Sheet2!A:A,1,)</f>
        <v>IN02S2240330-00</v>
      </c>
    </row>
    <row r="83" spans="1:17" x14ac:dyDescent="0.25">
      <c r="A83" s="5" t="s">
        <v>314</v>
      </c>
      <c r="B83" s="5">
        <v>79</v>
      </c>
      <c r="C83" s="5" t="s">
        <v>80</v>
      </c>
      <c r="D83" s="5" t="str">
        <f>+VLOOKUP(C83,Sheet1!K:M,3,)</f>
        <v>CAP-CER-SMD 220N-10%-50V-0805-X7R</v>
      </c>
      <c r="E83" s="5">
        <v>2000</v>
      </c>
      <c r="F83" s="5"/>
      <c r="G83" s="5"/>
      <c r="H83" s="5"/>
      <c r="I83" s="5"/>
      <c r="J83" s="5">
        <v>2000</v>
      </c>
      <c r="K83" s="5">
        <f>2000*1</f>
        <v>2000</v>
      </c>
      <c r="L83" s="5">
        <f t="shared" si="2"/>
        <v>0</v>
      </c>
      <c r="N83" s="5" t="str">
        <f t="shared" si="3"/>
        <v>IN02S2240560-00</v>
      </c>
      <c r="O83" s="5">
        <v>79</v>
      </c>
      <c r="Q83" t="str">
        <f>+VLOOKUP(N83,Sheet2!A:A,1,)</f>
        <v>IN02S2240560-00</v>
      </c>
    </row>
    <row r="84" spans="1:17" x14ac:dyDescent="0.25">
      <c r="A84" s="5" t="s">
        <v>314</v>
      </c>
      <c r="B84" s="5">
        <v>80</v>
      </c>
      <c r="C84" s="5" t="s">
        <v>247</v>
      </c>
      <c r="D84" s="5" t="str">
        <f>+VLOOKUP(C84,Sheet1!K:M,3,)</f>
        <v>CAP-CER-SMD 3N3-10%-50V-0603-X7R</v>
      </c>
      <c r="E84" s="5"/>
      <c r="F84" s="5"/>
      <c r="G84" s="5"/>
      <c r="H84" s="5">
        <v>8000</v>
      </c>
      <c r="I84" s="5"/>
      <c r="J84" s="5">
        <v>8000</v>
      </c>
      <c r="K84" s="5">
        <f>4000*2</f>
        <v>8000</v>
      </c>
      <c r="L84" s="5">
        <f t="shared" si="2"/>
        <v>0</v>
      </c>
      <c r="N84" s="5" t="str">
        <f t="shared" si="3"/>
        <v>IN02S3320530-00</v>
      </c>
      <c r="O84" s="5">
        <v>80</v>
      </c>
      <c r="Q84" t="str">
        <f>+VLOOKUP(N84,Sheet2!A:A,1,)</f>
        <v>IN02S3320530-00</v>
      </c>
    </row>
    <row r="85" spans="1:17" x14ac:dyDescent="0.25">
      <c r="A85" s="5" t="s">
        <v>314</v>
      </c>
      <c r="B85" s="5">
        <v>81</v>
      </c>
      <c r="C85" s="5" t="s">
        <v>67</v>
      </c>
      <c r="D85" s="5" t="str">
        <f>+VLOOKUP(C85,Sheet1!K:M,3,)</f>
        <v>CAP-CER-SMD 470P-5%-50V-0603-COG</v>
      </c>
      <c r="E85" s="5">
        <v>4000</v>
      </c>
      <c r="F85" s="5"/>
      <c r="G85" s="5"/>
      <c r="H85" s="5"/>
      <c r="I85" s="5"/>
      <c r="J85" s="5">
        <v>4000</v>
      </c>
      <c r="K85" s="5">
        <f>4000*1</f>
        <v>4000</v>
      </c>
      <c r="L85" s="5">
        <f t="shared" si="2"/>
        <v>0</v>
      </c>
      <c r="N85" s="5" t="str">
        <f t="shared" si="3"/>
        <v>IN02S4710521-00</v>
      </c>
      <c r="O85" s="5">
        <v>81</v>
      </c>
      <c r="Q85" t="str">
        <f>+VLOOKUP(N85,Sheet2!A:A,1,)</f>
        <v>IN02S4710521-00</v>
      </c>
    </row>
    <row r="86" spans="1:17" x14ac:dyDescent="0.25">
      <c r="A86" s="5" t="s">
        <v>314</v>
      </c>
      <c r="B86" s="5">
        <v>82</v>
      </c>
      <c r="C86" s="5" t="s">
        <v>231</v>
      </c>
      <c r="D86" s="5" t="str">
        <f>+VLOOKUP(C86,Sheet1!K:M,3,)</f>
        <v>CAP-CER-SMD 470P-10%-1000V-1206-X7R</v>
      </c>
      <c r="E86" s="5"/>
      <c r="F86" s="5"/>
      <c r="G86" s="5"/>
      <c r="H86" s="5">
        <v>12000</v>
      </c>
      <c r="I86" s="5"/>
      <c r="J86" s="5">
        <v>12000</v>
      </c>
      <c r="K86" s="5">
        <f>3000*4</f>
        <v>12000</v>
      </c>
      <c r="L86" s="5">
        <f t="shared" si="2"/>
        <v>0</v>
      </c>
      <c r="N86" s="5" t="str">
        <f t="shared" si="3"/>
        <v>IN02S4712190-00</v>
      </c>
      <c r="O86" s="5">
        <v>82</v>
      </c>
      <c r="Q86" t="str">
        <f>+VLOOKUP(N86,Sheet2!A:A,1,)</f>
        <v>IN02S4712190-00</v>
      </c>
    </row>
    <row r="87" spans="1:17" x14ac:dyDescent="0.25">
      <c r="A87" s="5" t="s">
        <v>314</v>
      </c>
      <c r="B87" s="5">
        <v>83</v>
      </c>
      <c r="C87" s="5" t="s">
        <v>271</v>
      </c>
      <c r="D87" s="5" t="str">
        <f>+VLOOKUP(C87,Sheet1!K:M,3,)</f>
        <v>CAP-CER-SMD 47N-10%-630V-1206-X7R</v>
      </c>
      <c r="E87" s="5"/>
      <c r="F87" s="5"/>
      <c r="G87" s="5"/>
      <c r="H87" s="5">
        <v>6000</v>
      </c>
      <c r="I87" s="5"/>
      <c r="J87" s="5">
        <v>6000</v>
      </c>
      <c r="K87" s="5">
        <f>2000*3</f>
        <v>6000</v>
      </c>
      <c r="L87" s="5">
        <f t="shared" si="2"/>
        <v>0</v>
      </c>
      <c r="N87" s="5" t="str">
        <f t="shared" si="3"/>
        <v>IN02S4731990-00</v>
      </c>
      <c r="O87" s="5">
        <v>83</v>
      </c>
      <c r="Q87" t="str">
        <f>+VLOOKUP(N87,Sheet2!A:A,1,)</f>
        <v>IN02S4731990-00</v>
      </c>
    </row>
    <row r="88" spans="1:17" x14ac:dyDescent="0.25">
      <c r="A88" s="5" t="s">
        <v>314</v>
      </c>
      <c r="B88" s="5">
        <v>84</v>
      </c>
      <c r="C88" s="5" t="s">
        <v>253</v>
      </c>
      <c r="D88" s="5" t="str">
        <f>+VLOOKUP(C88,Sheet1!K:M,3,)</f>
        <v>CAP-CER-SMD 470N-10%-16V-0603-X7R</v>
      </c>
      <c r="E88" s="5"/>
      <c r="F88" s="5"/>
      <c r="G88" s="5"/>
      <c r="H88" s="5">
        <v>8000</v>
      </c>
      <c r="I88" s="5"/>
      <c r="J88" s="5">
        <v>8000</v>
      </c>
      <c r="K88" s="5">
        <f>4000*2</f>
        <v>8000</v>
      </c>
      <c r="L88" s="5">
        <f t="shared" si="2"/>
        <v>0</v>
      </c>
      <c r="N88" s="5" t="str">
        <f t="shared" si="3"/>
        <v>IN02S4740230-00</v>
      </c>
      <c r="O88" s="5">
        <v>84</v>
      </c>
      <c r="Q88" t="str">
        <f>+VLOOKUP(N88,Sheet2!A:A,1,)</f>
        <v>IN02S4740230-00</v>
      </c>
    </row>
    <row r="89" spans="1:17" x14ac:dyDescent="0.25">
      <c r="A89" s="5" t="s">
        <v>314</v>
      </c>
      <c r="B89" s="5">
        <v>85</v>
      </c>
      <c r="C89" s="5" t="s">
        <v>223</v>
      </c>
      <c r="D89" s="5" t="str">
        <f>+VLOOKUP(C89,Sheet1!K:M,3,)</f>
        <v>CAP-CER-SMD 4U7-10%-50V-1206-X7R</v>
      </c>
      <c r="E89" s="5"/>
      <c r="F89" s="5"/>
      <c r="G89" s="5"/>
      <c r="H89" s="5">
        <v>8000</v>
      </c>
      <c r="I89" s="5"/>
      <c r="J89" s="5">
        <v>8000</v>
      </c>
      <c r="K89" s="5">
        <f>2000*4</f>
        <v>8000</v>
      </c>
      <c r="L89" s="5">
        <f t="shared" si="2"/>
        <v>0</v>
      </c>
      <c r="N89" s="5" t="str">
        <f t="shared" si="3"/>
        <v>IN02S4750590-00</v>
      </c>
      <c r="O89" s="5">
        <v>85</v>
      </c>
      <c r="Q89" t="str">
        <f>+VLOOKUP(N89,Sheet2!A:A,1,)</f>
        <v>IN02S4750590-00</v>
      </c>
    </row>
    <row r="90" spans="1:17" x14ac:dyDescent="0.25">
      <c r="A90" s="5" t="s">
        <v>314</v>
      </c>
      <c r="B90" s="5">
        <v>86</v>
      </c>
      <c r="C90" s="5" t="s">
        <v>59</v>
      </c>
      <c r="D90" s="5" t="str">
        <f>+VLOOKUP(C90,Sheet1!K:M,3,)</f>
        <v>RES-GDT-SMD 1KA-600V-25%-4.5*3.2*2.7</v>
      </c>
      <c r="E90" s="5">
        <v>10000</v>
      </c>
      <c r="F90" s="5"/>
      <c r="G90" s="5"/>
      <c r="H90" s="5"/>
      <c r="I90" s="5"/>
      <c r="J90" s="5">
        <v>10000</v>
      </c>
      <c r="K90" s="5">
        <f>2500*4</f>
        <v>10000</v>
      </c>
      <c r="L90" s="5">
        <f t="shared" si="2"/>
        <v>0</v>
      </c>
      <c r="N90" s="5" t="str">
        <f t="shared" si="3"/>
        <v>IN04S6010001-16</v>
      </c>
      <c r="O90" s="5">
        <v>86</v>
      </c>
      <c r="Q90" t="str">
        <f>+VLOOKUP(N90,Sheet2!A:A,1,)</f>
        <v>IN04S6010001-16</v>
      </c>
    </row>
    <row r="91" spans="1:17" x14ac:dyDescent="0.25">
      <c r="A91" s="5" t="s">
        <v>314</v>
      </c>
      <c r="B91" s="5">
        <v>87</v>
      </c>
      <c r="C91" s="5" t="s">
        <v>179</v>
      </c>
      <c r="D91" s="5" t="str">
        <f>+VLOOKUP(C91,Sheet1!K:M,3,)</f>
        <v>RES-GDT-SMD 600V-30%-4.5*3.2*2.7</v>
      </c>
      <c r="E91" s="5"/>
      <c r="F91" s="5"/>
      <c r="G91" s="5">
        <v>7500</v>
      </c>
      <c r="H91" s="5"/>
      <c r="I91" s="5"/>
      <c r="J91" s="5">
        <v>7500</v>
      </c>
      <c r="K91" s="5">
        <f>2500*3</f>
        <v>7500</v>
      </c>
      <c r="L91" s="5">
        <f t="shared" si="2"/>
        <v>0</v>
      </c>
      <c r="N91" s="5" t="str">
        <f t="shared" si="3"/>
        <v>IN04S6010001-19</v>
      </c>
      <c r="O91" s="5">
        <v>87</v>
      </c>
      <c r="Q91" t="str">
        <f>+VLOOKUP(N91,Sheet2!A:A,1,)</f>
        <v>IN04S6010001-19</v>
      </c>
    </row>
    <row r="92" spans="1:17" x14ac:dyDescent="0.25">
      <c r="A92" s="5" t="s">
        <v>314</v>
      </c>
      <c r="B92" s="5">
        <v>88</v>
      </c>
      <c r="C92" s="5" t="s">
        <v>98</v>
      </c>
      <c r="D92" s="5" t="str">
        <f>+VLOOKUP(C92,Sheet1!K:M,3,)</f>
        <v>RES-GDT-SMD 600V-20%-4.5*3.2*3.2</v>
      </c>
      <c r="E92" s="5">
        <v>2200</v>
      </c>
      <c r="F92" s="5"/>
      <c r="G92" s="5"/>
      <c r="H92" s="5"/>
      <c r="I92" s="5"/>
      <c r="J92" s="5">
        <v>2200</v>
      </c>
      <c r="K92" s="5">
        <f>2200*1</f>
        <v>2200</v>
      </c>
      <c r="L92" s="5">
        <f t="shared" si="2"/>
        <v>0</v>
      </c>
      <c r="N92" s="5" t="str">
        <f t="shared" si="3"/>
        <v>IN04S6010002-16</v>
      </c>
      <c r="O92" s="5">
        <v>88</v>
      </c>
      <c r="Q92" t="str">
        <f>+VLOOKUP(N92,Sheet2!A:A,1,)</f>
        <v>IN04S6010002-16</v>
      </c>
    </row>
    <row r="93" spans="1:17" x14ac:dyDescent="0.25">
      <c r="A93" s="5" t="s">
        <v>314</v>
      </c>
      <c r="B93" s="5">
        <v>89</v>
      </c>
      <c r="C93" s="5" t="s">
        <v>257</v>
      </c>
      <c r="D93" s="5" t="str">
        <f>+VLOOKUP(C93,Sheet1!K:M,3,)</f>
        <v>RES-GDT-SMD 600V-20%-4.2*5*5</v>
      </c>
      <c r="E93" s="5"/>
      <c r="F93" s="5"/>
      <c r="G93" s="5"/>
      <c r="H93" s="5">
        <v>6000</v>
      </c>
      <c r="I93" s="5"/>
      <c r="J93" s="5">
        <v>6000</v>
      </c>
      <c r="K93" s="5">
        <f>1000*6</f>
        <v>6000</v>
      </c>
      <c r="L93" s="5">
        <f t="shared" si="2"/>
        <v>0</v>
      </c>
      <c r="N93" s="5" t="str">
        <f t="shared" si="3"/>
        <v>IN04S6010501-21</v>
      </c>
      <c r="O93" s="5">
        <v>89</v>
      </c>
      <c r="Q93" t="str">
        <f>+VLOOKUP(N93,Sheet2!A:A,1,)</f>
        <v>IN04S6010501-21</v>
      </c>
    </row>
    <row r="94" spans="1:17" x14ac:dyDescent="0.25">
      <c r="A94" s="5" t="s">
        <v>314</v>
      </c>
      <c r="B94" s="5">
        <v>90</v>
      </c>
      <c r="C94" s="5" t="s">
        <v>77</v>
      </c>
      <c r="D94" s="5" t="str">
        <f>+VLOOKUP(C94,Sheet1!K:M,3,)</f>
        <v>SEM-Pad-SMD T=3.4 4.6*2.6*3.4</v>
      </c>
      <c r="E94" s="5">
        <v>24000</v>
      </c>
      <c r="F94" s="5"/>
      <c r="G94" s="5"/>
      <c r="H94" s="5"/>
      <c r="I94" s="5"/>
      <c r="J94" s="5">
        <v>24000</v>
      </c>
      <c r="K94" s="5">
        <f>2000*12</f>
        <v>24000</v>
      </c>
      <c r="L94" s="5">
        <f t="shared" si="2"/>
        <v>0</v>
      </c>
      <c r="N94" s="5" t="str">
        <f t="shared" si="3"/>
        <v>IN05S0000001-00</v>
      </c>
      <c r="O94" s="5">
        <v>90</v>
      </c>
      <c r="Q94" t="str">
        <f>+VLOOKUP(N94,Sheet2!A:A,1,)</f>
        <v>IN05S0000001-00</v>
      </c>
    </row>
    <row r="95" spans="1:17" x14ac:dyDescent="0.25">
      <c r="A95" s="5" t="s">
        <v>314</v>
      </c>
      <c r="B95" s="5">
        <v>91</v>
      </c>
      <c r="C95" s="5" t="s">
        <v>92</v>
      </c>
      <c r="D95" s="5" t="str">
        <f>+VLOOKUP(C95,Sheet1!K:M,3,)</f>
        <v>SEM-HSD-SMD 600V-1A-35ns-175℃-SMA(DO-214AC)</v>
      </c>
      <c r="E95" s="5">
        <v>20000</v>
      </c>
      <c r="F95" s="5"/>
      <c r="G95" s="5"/>
      <c r="H95" s="5"/>
      <c r="I95" s="5"/>
      <c r="J95" s="5">
        <v>20000</v>
      </c>
      <c r="K95" s="5">
        <f>5000*4</f>
        <v>20000</v>
      </c>
      <c r="L95" s="5">
        <f t="shared" si="2"/>
        <v>0</v>
      </c>
      <c r="N95" s="5" t="str">
        <f t="shared" si="3"/>
        <v>IN05S1000002-06</v>
      </c>
      <c r="O95" s="5">
        <v>91</v>
      </c>
      <c r="Q95" t="str">
        <f>+VLOOKUP(N95,Sheet2!A:A,1,)</f>
        <v>IN05S1000002-06</v>
      </c>
    </row>
    <row r="96" spans="1:17" x14ac:dyDescent="0.25">
      <c r="A96" s="5" t="s">
        <v>314</v>
      </c>
      <c r="B96" s="5">
        <v>92</v>
      </c>
      <c r="C96" s="5" t="s">
        <v>237</v>
      </c>
      <c r="D96" s="5" t="str">
        <f>+VLOOKUP(C96,Sheet1!K:M,3,)</f>
        <v>SEM-HSD-SMD 1A-1000V-75ns-150℃-SMA(DO-214AC)</v>
      </c>
      <c r="E96" s="5"/>
      <c r="F96" s="5"/>
      <c r="G96" s="5"/>
      <c r="H96" s="5">
        <v>15000</v>
      </c>
      <c r="I96" s="5"/>
      <c r="J96" s="5">
        <v>15000</v>
      </c>
      <c r="K96" s="5">
        <f>5000*3</f>
        <v>15000</v>
      </c>
      <c r="L96" s="5">
        <f t="shared" si="2"/>
        <v>0</v>
      </c>
      <c r="N96" s="5" t="str">
        <f t="shared" si="3"/>
        <v>IN05S1000004-06</v>
      </c>
      <c r="O96" s="5">
        <v>92</v>
      </c>
      <c r="Q96" t="str">
        <f>+VLOOKUP(N96,Sheet2!A:A,1,)</f>
        <v>IN05S1000004-06</v>
      </c>
    </row>
    <row r="97" spans="1:17" x14ac:dyDescent="0.25">
      <c r="A97" s="5" t="s">
        <v>314</v>
      </c>
      <c r="B97" s="5">
        <v>93</v>
      </c>
      <c r="C97" s="5" t="s">
        <v>135</v>
      </c>
      <c r="D97" s="5" t="str">
        <f>+VLOOKUP(C97,Sheet1!K:M,3,)</f>
        <v>SEM-SWD-SMD 75V-150mA-150℃-SOD-323</v>
      </c>
      <c r="E97" s="5"/>
      <c r="F97" s="5">
        <v>60000</v>
      </c>
      <c r="G97" s="5"/>
      <c r="H97" s="5"/>
      <c r="I97" s="5"/>
      <c r="J97" s="5">
        <v>60000</v>
      </c>
      <c r="K97" s="5">
        <f>10000*6</f>
        <v>60000</v>
      </c>
      <c r="L97" s="5">
        <f t="shared" si="2"/>
        <v>0</v>
      </c>
      <c r="N97" s="5" t="str">
        <f t="shared" si="3"/>
        <v>IN05S1414801-17</v>
      </c>
      <c r="O97" s="5">
        <v>93</v>
      </c>
      <c r="Q97" t="str">
        <f>+VLOOKUP(N97,Sheet2!A:A,1,)</f>
        <v>IN05S1414801-17</v>
      </c>
    </row>
    <row r="98" spans="1:17" x14ac:dyDescent="0.25">
      <c r="A98" s="5" t="s">
        <v>314</v>
      </c>
      <c r="B98" s="5">
        <v>94</v>
      </c>
      <c r="C98" s="5" t="s">
        <v>104</v>
      </c>
      <c r="D98" s="5" t="str">
        <f>+VLOOKUP(C98,Sheet1!K:M,3,)</f>
        <v>SEM-HSD-SMD 1200V-2A-100ns-150℃-SMB(DO-214AA)</v>
      </c>
      <c r="E98" s="5">
        <v>3000</v>
      </c>
      <c r="F98" s="5"/>
      <c r="G98" s="5"/>
      <c r="H98" s="5"/>
      <c r="I98" s="5"/>
      <c r="J98" s="5">
        <v>3000</v>
      </c>
      <c r="K98" s="5">
        <f>3000*1</f>
        <v>3000</v>
      </c>
      <c r="L98" s="5">
        <f t="shared" si="2"/>
        <v>0</v>
      </c>
      <c r="N98" s="5" t="str">
        <f t="shared" si="3"/>
        <v>IN05S2000001-06</v>
      </c>
      <c r="O98" s="5">
        <v>94</v>
      </c>
      <c r="Q98" t="str">
        <f>+VLOOKUP(N98,Sheet2!A:A,1,)</f>
        <v>IN05S2000001-06</v>
      </c>
    </row>
    <row r="99" spans="1:17" x14ac:dyDescent="0.25">
      <c r="A99" s="5" t="s">
        <v>314</v>
      </c>
      <c r="B99" s="5">
        <v>95</v>
      </c>
      <c r="C99" s="5" t="s">
        <v>193</v>
      </c>
      <c r="D99" s="5" t="str">
        <f>+VLOOKUP(C99,Sheet1!K:M,3,)</f>
        <v>SEM-ZD-SMD 12V-5%-5mA-0.2W-SOD-323</v>
      </c>
      <c r="E99" s="5"/>
      <c r="F99" s="5"/>
      <c r="G99" s="5">
        <v>6000</v>
      </c>
      <c r="H99" s="5"/>
      <c r="I99" s="5"/>
      <c r="J99" s="5">
        <v>6000</v>
      </c>
      <c r="K99" s="5">
        <f>3000*2</f>
        <v>6000</v>
      </c>
      <c r="L99" s="5">
        <f t="shared" si="2"/>
        <v>0</v>
      </c>
      <c r="N99" s="5" t="str">
        <f t="shared" si="3"/>
        <v>IN05S3121000-18</v>
      </c>
      <c r="O99" s="5">
        <v>95</v>
      </c>
      <c r="Q99" t="str">
        <f>+VLOOKUP(N99,Sheet2!A:A,1,)</f>
        <v>IN05S3121000-18</v>
      </c>
    </row>
    <row r="100" spans="1:17" x14ac:dyDescent="0.25">
      <c r="A100" s="5" t="s">
        <v>314</v>
      </c>
      <c r="B100" s="5">
        <v>96</v>
      </c>
      <c r="C100" s="5" t="s">
        <v>101</v>
      </c>
      <c r="D100" s="5" t="str">
        <f>+VLOOKUP(C100,Sheet1!K:M,3,)</f>
        <v>SEM-ZD-SMD 16V-5%-5mA-0.2W-SOD-323</v>
      </c>
      <c r="E100" s="5">
        <v>3000</v>
      </c>
      <c r="F100" s="5"/>
      <c r="G100" s="5"/>
      <c r="H100" s="5"/>
      <c r="I100" s="5"/>
      <c r="J100" s="5">
        <v>3000</v>
      </c>
      <c r="K100" s="5">
        <f>3000*1</f>
        <v>3000</v>
      </c>
      <c r="L100" s="5">
        <f t="shared" si="2"/>
        <v>0</v>
      </c>
      <c r="N100" s="5" t="str">
        <f t="shared" si="3"/>
        <v>IN05S3161000-18</v>
      </c>
      <c r="O100" s="5">
        <v>96</v>
      </c>
      <c r="Q100" t="str">
        <f>+VLOOKUP(N100,Sheet2!A:A,1,)</f>
        <v>IN05S3161000-18</v>
      </c>
    </row>
    <row r="101" spans="1:17" x14ac:dyDescent="0.25">
      <c r="A101" s="5" t="s">
        <v>314</v>
      </c>
      <c r="B101" s="5">
        <v>97</v>
      </c>
      <c r="C101" s="5" t="s">
        <v>200</v>
      </c>
      <c r="D101" s="5" t="str">
        <f>+VLOOKUP(C101,Sheet1!K:M,3,)</f>
        <v>SEM-ZD-SMD 6V8-5%-20mA-0.5W-SOD-123</v>
      </c>
      <c r="E101" s="5"/>
      <c r="F101" s="5"/>
      <c r="G101" s="5">
        <v>15000</v>
      </c>
      <c r="H101" s="5"/>
      <c r="I101" s="5"/>
      <c r="J101" s="5">
        <v>15000</v>
      </c>
      <c r="K101" s="5">
        <f>3000*5</f>
        <v>15000</v>
      </c>
      <c r="L101" s="5">
        <f t="shared" si="2"/>
        <v>0</v>
      </c>
      <c r="N101" s="5" t="str">
        <f t="shared" si="3"/>
        <v>IN05S5235100-18</v>
      </c>
      <c r="O101" s="5">
        <v>97</v>
      </c>
      <c r="Q101" t="str">
        <f>+VLOOKUP(N101,Sheet2!A:A,1,)</f>
        <v>IN05S5235100-18</v>
      </c>
    </row>
    <row r="102" spans="1:17" x14ac:dyDescent="0.25">
      <c r="A102" s="5" t="s">
        <v>314</v>
      </c>
      <c r="B102" s="5">
        <v>98</v>
      </c>
      <c r="C102" s="5" t="s">
        <v>295</v>
      </c>
      <c r="D102" s="5" t="str">
        <f>+VLOOKUP(C102,Sheet1!K:M,3,)</f>
        <v>SEM-ZD-SMD 7V5-5%-20mA-0.5W-SOD-123</v>
      </c>
      <c r="E102" s="5"/>
      <c r="F102" s="5"/>
      <c r="G102" s="5"/>
      <c r="H102" s="5">
        <v>12000</v>
      </c>
      <c r="I102" s="5"/>
      <c r="J102" s="5">
        <v>12000</v>
      </c>
      <c r="K102" s="5">
        <f>3000*4</f>
        <v>12000</v>
      </c>
      <c r="L102" s="5">
        <f t="shared" si="2"/>
        <v>0</v>
      </c>
      <c r="N102" s="5" t="str">
        <f t="shared" si="3"/>
        <v>IN05S5236100-18</v>
      </c>
      <c r="O102" s="5">
        <v>98</v>
      </c>
      <c r="Q102" t="str">
        <f>+VLOOKUP(N102,Sheet2!A:A,1,)</f>
        <v>IN05S5236100-18</v>
      </c>
    </row>
    <row r="103" spans="1:17" x14ac:dyDescent="0.25">
      <c r="A103" s="5" t="s">
        <v>314</v>
      </c>
      <c r="B103" s="5">
        <v>99</v>
      </c>
      <c r="C103" s="5" t="s">
        <v>264</v>
      </c>
      <c r="D103" s="5" t="str">
        <f>+VLOOKUP(C103,Sheet1!K:M,3,)</f>
        <v>SEM-ZD-SMD 18V-5%-7mA-0.5W-SOD-123</v>
      </c>
      <c r="E103" s="5"/>
      <c r="F103" s="5"/>
      <c r="G103" s="5"/>
      <c r="H103" s="5">
        <v>9000</v>
      </c>
      <c r="I103" s="5"/>
      <c r="J103" s="5">
        <v>9000</v>
      </c>
      <c r="K103" s="5">
        <f>3000*3</f>
        <v>9000</v>
      </c>
      <c r="L103" s="5">
        <f t="shared" si="2"/>
        <v>0</v>
      </c>
      <c r="N103" s="5" t="str">
        <f t="shared" si="3"/>
        <v>IN05S5248100-18</v>
      </c>
      <c r="O103" s="5">
        <v>99</v>
      </c>
      <c r="Q103" t="str">
        <f>+VLOOKUP(N103,Sheet2!A:A,1,)</f>
        <v>IN05S5248100-18</v>
      </c>
    </row>
    <row r="104" spans="1:17" x14ac:dyDescent="0.25">
      <c r="A104" s="5" t="s">
        <v>314</v>
      </c>
      <c r="B104" s="5">
        <v>100</v>
      </c>
      <c r="C104" s="5" t="s">
        <v>298</v>
      </c>
      <c r="D104" s="5" t="str">
        <f>+VLOOKUP(C104,Sheet1!K:M,3,)</f>
        <v>SEM-ZD-SMD 22V-5%-5.6mA-0.5W-SOD-123</v>
      </c>
      <c r="E104" s="5"/>
      <c r="F104" s="5"/>
      <c r="G104" s="5"/>
      <c r="H104" s="5">
        <v>9000</v>
      </c>
      <c r="I104" s="5"/>
      <c r="J104" s="5">
        <v>9000</v>
      </c>
      <c r="K104" s="5">
        <f>3000*3</f>
        <v>9000</v>
      </c>
      <c r="L104" s="5">
        <f t="shared" si="2"/>
        <v>0</v>
      </c>
      <c r="N104" s="5" t="str">
        <f t="shared" si="3"/>
        <v>IN05S5251100-18</v>
      </c>
      <c r="O104" s="5">
        <v>100</v>
      </c>
      <c r="Q104" t="str">
        <f>+VLOOKUP(N104,Sheet2!A:A,1,)</f>
        <v>IN05S5251100-18</v>
      </c>
    </row>
    <row r="105" spans="1:17" x14ac:dyDescent="0.25">
      <c r="A105" s="5" t="s">
        <v>314</v>
      </c>
      <c r="B105" s="5">
        <v>101</v>
      </c>
      <c r="C105" s="5" t="s">
        <v>217</v>
      </c>
      <c r="D105" s="5" t="str">
        <f>+VLOOKUP(C105,Sheet1!K:M,3,)</f>
        <v>SEM-GRD-SMD 1000V-1A-150℃-SAME(DO-214AC)</v>
      </c>
      <c r="E105" s="5"/>
      <c r="F105" s="5"/>
      <c r="G105" s="5">
        <v>6000</v>
      </c>
      <c r="H105" s="5"/>
      <c r="I105" s="5"/>
      <c r="J105" s="5">
        <v>6000</v>
      </c>
      <c r="K105" s="5">
        <f>6000*1</f>
        <v>6000</v>
      </c>
      <c r="L105" s="5">
        <f t="shared" si="2"/>
        <v>0</v>
      </c>
      <c r="N105" s="5" t="str">
        <f t="shared" si="3"/>
        <v>IN05SM700000-06</v>
      </c>
      <c r="O105" s="5">
        <v>101</v>
      </c>
      <c r="Q105" t="str">
        <f>+VLOOKUP(N105,Sheet2!A:A,1,)</f>
        <v>IN05SM700000-06</v>
      </c>
    </row>
    <row r="106" spans="1:17" x14ac:dyDescent="0.25">
      <c r="A106" s="5" t="s">
        <v>314</v>
      </c>
      <c r="B106" s="5">
        <v>102</v>
      </c>
      <c r="C106" s="5" t="s">
        <v>73</v>
      </c>
      <c r="D106" s="5" t="str">
        <f>+VLOOKUP(C106,Sheet1!K:M,3,)</f>
        <v>SEM-NPN-SMD 40V-0.6A-150℃-SOT-23</v>
      </c>
      <c r="E106" s="5">
        <v>54000</v>
      </c>
      <c r="F106" s="5"/>
      <c r="G106" s="5"/>
      <c r="H106" s="5"/>
      <c r="I106" s="5"/>
      <c r="J106" s="5">
        <v>54000</v>
      </c>
      <c r="K106" s="5">
        <f>3000*8+3000*10</f>
        <v>54000</v>
      </c>
      <c r="L106" s="5">
        <f t="shared" si="2"/>
        <v>0</v>
      </c>
      <c r="N106" s="5" t="str">
        <f t="shared" si="3"/>
        <v>IN06S2222001-33</v>
      </c>
      <c r="O106" s="5">
        <v>102</v>
      </c>
      <c r="Q106" t="str">
        <f>+VLOOKUP(N106,Sheet2!A:A,1,)</f>
        <v>IN06S2222001-33</v>
      </c>
    </row>
    <row r="107" spans="1:17" x14ac:dyDescent="0.25">
      <c r="A107" s="5" t="s">
        <v>314</v>
      </c>
      <c r="B107" s="5">
        <v>103</v>
      </c>
      <c r="C107" s="5" t="s">
        <v>159</v>
      </c>
      <c r="D107" s="5" t="str">
        <f>+VLOOKUP(C107,Sheet1!K:M,3,)</f>
        <v>SEM-N-MOS-SMD 60V-0.32A-0R0023-150℃-SOT-23</v>
      </c>
      <c r="E107" s="5"/>
      <c r="F107" s="5"/>
      <c r="G107" s="5">
        <v>6000</v>
      </c>
      <c r="H107" s="5"/>
      <c r="I107" s="5"/>
      <c r="J107" s="5">
        <v>6000</v>
      </c>
      <c r="K107" s="5">
        <f>3000*2</f>
        <v>6000</v>
      </c>
      <c r="L107" s="5">
        <f t="shared" si="2"/>
        <v>0</v>
      </c>
      <c r="N107" s="5" t="str">
        <f t="shared" si="3"/>
        <v>IN06S2700201-24</v>
      </c>
      <c r="O107" s="5">
        <v>103</v>
      </c>
      <c r="Q107" t="str">
        <f>+VLOOKUP(N107,Sheet2!A:A,1,)</f>
        <v>IN06S2700201-24</v>
      </c>
    </row>
    <row r="108" spans="1:17" x14ac:dyDescent="0.25">
      <c r="A108" s="5" t="s">
        <v>314</v>
      </c>
      <c r="B108" s="5">
        <v>104</v>
      </c>
      <c r="C108" s="5" t="s">
        <v>116</v>
      </c>
      <c r="D108" s="5" t="str">
        <f>+VLOOKUP(C108,Sheet1!K:M,3,)</f>
        <v>SEM-PNP-SMD 60V-0.6A-150℃-SOT-23</v>
      </c>
      <c r="E108" s="5"/>
      <c r="F108" s="5">
        <v>18000</v>
      </c>
      <c r="G108" s="5"/>
      <c r="H108" s="5"/>
      <c r="I108" s="5"/>
      <c r="J108" s="5">
        <v>18000</v>
      </c>
      <c r="K108" s="5">
        <f>3000*6</f>
        <v>18000</v>
      </c>
      <c r="L108" s="5">
        <f t="shared" si="2"/>
        <v>0</v>
      </c>
      <c r="N108" s="5" t="str">
        <f t="shared" si="3"/>
        <v>IN06S2907001-33</v>
      </c>
      <c r="O108" s="5">
        <v>104</v>
      </c>
      <c r="Q108" t="str">
        <f>+VLOOKUP(N108,Sheet2!A:A,1,)</f>
        <v>IN06S2907001-33</v>
      </c>
    </row>
    <row r="109" spans="1:17" x14ac:dyDescent="0.25">
      <c r="A109" s="5" t="s">
        <v>314</v>
      </c>
      <c r="B109" s="5">
        <v>105</v>
      </c>
      <c r="C109" s="5" t="s">
        <v>162</v>
      </c>
      <c r="D109" s="5" t="str">
        <f>+VLOOKUP(C109,Sheet1!K:M,3,)</f>
        <v>SEM-NPN-SMD 80V-1A-150℃-SOT-89</v>
      </c>
      <c r="E109" s="5"/>
      <c r="F109" s="5"/>
      <c r="G109" s="5">
        <v>8000</v>
      </c>
      <c r="H109" s="5"/>
      <c r="I109" s="5"/>
      <c r="J109" s="5">
        <v>8000</v>
      </c>
      <c r="K109" s="5">
        <f>4000*2</f>
        <v>8000</v>
      </c>
      <c r="L109" s="5">
        <f t="shared" si="2"/>
        <v>0</v>
      </c>
      <c r="N109" s="5" t="str">
        <f t="shared" si="3"/>
        <v>IN06S5616000-10</v>
      </c>
      <c r="O109" s="5">
        <v>105</v>
      </c>
      <c r="Q109" t="str">
        <f>+VLOOKUP(N109,Sheet2!A:A,1,)</f>
        <v>IN06S5616000-10</v>
      </c>
    </row>
    <row r="110" spans="1:17" x14ac:dyDescent="0.25">
      <c r="A110" s="5" t="s">
        <v>314</v>
      </c>
      <c r="B110" s="5">
        <v>106</v>
      </c>
      <c r="C110" s="5" t="s">
        <v>275</v>
      </c>
      <c r="D110" s="5" t="str">
        <f>+VLOOKUP(C110,Sheet1!K:M,3,)</f>
        <v>SEM-N-MOS-SMD 600V-0.053A-72R-150℃-SOT-23</v>
      </c>
      <c r="E110" s="5"/>
      <c r="F110" s="5"/>
      <c r="G110" s="5"/>
      <c r="H110" s="5">
        <v>6000</v>
      </c>
      <c r="I110" s="5"/>
      <c r="J110" s="5">
        <v>6000</v>
      </c>
      <c r="K110" s="5">
        <f>3000*2</f>
        <v>6000</v>
      </c>
      <c r="L110" s="5">
        <f t="shared" si="2"/>
        <v>0</v>
      </c>
      <c r="N110" s="5" t="str">
        <f t="shared" si="3"/>
        <v>IN06S6072001-11</v>
      </c>
      <c r="O110" s="5">
        <v>106</v>
      </c>
      <c r="Q110" t="str">
        <f>+VLOOKUP(N110,Sheet2!A:A,1,)</f>
        <v>IN06S6072001-11</v>
      </c>
    </row>
    <row r="111" spans="1:17" x14ac:dyDescent="0.25">
      <c r="A111" s="5" t="s">
        <v>314</v>
      </c>
      <c r="B111" s="5">
        <v>107</v>
      </c>
      <c r="C111" s="5" t="s">
        <v>55</v>
      </c>
      <c r="D111" s="5" t="str">
        <f>+VLOOKUP(C111,Sheet1!K:M,3,)</f>
        <v>SEM-N-MOS-SMD 950V-9A-1R25-150℃-TO-252(DPAK)</v>
      </c>
      <c r="E111" s="5">
        <v>2500</v>
      </c>
      <c r="F111" s="5"/>
      <c r="G111" s="5"/>
      <c r="H111" s="5"/>
      <c r="I111" s="5"/>
      <c r="J111" s="5">
        <v>2500</v>
      </c>
      <c r="K111" s="5">
        <f>2500*1</f>
        <v>2500</v>
      </c>
      <c r="L111" s="5">
        <f t="shared" si="2"/>
        <v>0</v>
      </c>
      <c r="N111" s="5" t="str">
        <f t="shared" si="3"/>
        <v>IN06S6955001-05</v>
      </c>
      <c r="O111" s="5">
        <v>107</v>
      </c>
      <c r="Q111" t="str">
        <f>+VLOOKUP(N111,Sheet2!A:A,1,)</f>
        <v>IN06S6955001-05</v>
      </c>
    </row>
    <row r="112" spans="1:17" x14ac:dyDescent="0.25">
      <c r="A112" s="5" t="s">
        <v>314</v>
      </c>
      <c r="B112" s="5">
        <v>108</v>
      </c>
      <c r="C112" s="5" t="s">
        <v>234</v>
      </c>
      <c r="D112" s="5" t="str">
        <f>+VLOOKUP(C112,Sheet1!K:M,3,)</f>
        <v>IC-Flyback(PFC-Contr)-SMD NCL30186BDR2G-125℃-SOIC-10</v>
      </c>
      <c r="E112" s="5"/>
      <c r="F112" s="5"/>
      <c r="G112" s="5"/>
      <c r="H112" s="5">
        <v>10000</v>
      </c>
      <c r="I112" s="5"/>
      <c r="J112" s="5">
        <v>10000</v>
      </c>
      <c r="K112" s="5">
        <f>2500*4</f>
        <v>10000</v>
      </c>
      <c r="L112" s="5">
        <f t="shared" si="2"/>
        <v>0</v>
      </c>
      <c r="N112" s="5" t="str">
        <f t="shared" si="3"/>
        <v>IN07S3018601-02</v>
      </c>
      <c r="O112" s="5">
        <v>108</v>
      </c>
      <c r="Q112" t="str">
        <f>+VLOOKUP(N112,Sheet2!A:A,1,)</f>
        <v>IN07S3018601-02</v>
      </c>
    </row>
    <row r="113" spans="1:17" x14ac:dyDescent="0.25">
      <c r="A113" s="5" t="s">
        <v>314</v>
      </c>
      <c r="B113" s="5">
        <v>109</v>
      </c>
      <c r="C113" s="5" t="s">
        <v>290</v>
      </c>
      <c r="D113" s="5" t="str">
        <f>+VLOOKUP(C113,Sheet1!K:M,3,)</f>
        <v>IC-OP-AMP-SMD LM321A-TR-125℃-SOT23-5</v>
      </c>
      <c r="E113" s="5"/>
      <c r="F113" s="5"/>
      <c r="G113" s="5"/>
      <c r="H113" s="5">
        <v>9000</v>
      </c>
      <c r="I113" s="5"/>
      <c r="J113" s="5">
        <v>9000</v>
      </c>
      <c r="K113" s="5">
        <f>3000*3</f>
        <v>9000</v>
      </c>
      <c r="L113" s="5">
        <f t="shared" si="2"/>
        <v>0</v>
      </c>
      <c r="N113" s="5" t="str">
        <f t="shared" si="3"/>
        <v>IN07S3210001-49</v>
      </c>
      <c r="O113" s="5">
        <v>109</v>
      </c>
      <c r="Q113" t="str">
        <f>+VLOOKUP(N113,Sheet2!A:A,1,)</f>
        <v>IN07S3210001-49</v>
      </c>
    </row>
    <row r="114" spans="1:17" x14ac:dyDescent="0.25">
      <c r="A114" s="5" t="s">
        <v>314</v>
      </c>
      <c r="B114" s="5">
        <v>110</v>
      </c>
      <c r="C114" s="5" t="s">
        <v>41</v>
      </c>
      <c r="D114" s="5" t="str">
        <f>+VLOOKUP(C114,Sheet1!K:M,3,)</f>
        <v>IC-Vol-Reg-SMD LA432OCRPA-125℃-SOT23-3L</v>
      </c>
      <c r="E114" s="5">
        <v>15000</v>
      </c>
      <c r="F114" s="5"/>
      <c r="G114" s="5"/>
      <c r="H114" s="5"/>
      <c r="I114" s="5"/>
      <c r="J114" s="5">
        <v>15000</v>
      </c>
      <c r="K114" s="5">
        <f>3000*5</f>
        <v>15000</v>
      </c>
      <c r="L114" s="5">
        <f t="shared" si="2"/>
        <v>0</v>
      </c>
      <c r="N114" s="5" t="str">
        <f t="shared" si="3"/>
        <v>IN07S4320001-12</v>
      </c>
      <c r="O114" s="5">
        <v>110</v>
      </c>
      <c r="Q114" t="str">
        <f>+VLOOKUP(N114,Sheet2!A:A,1,)</f>
        <v>IN07S4320001-12</v>
      </c>
    </row>
    <row r="115" spans="1:17" x14ac:dyDescent="0.25">
      <c r="A115" s="5" t="s">
        <v>314</v>
      </c>
      <c r="B115" s="5">
        <v>111</v>
      </c>
      <c r="C115" s="5" t="s">
        <v>49</v>
      </c>
      <c r="D115" s="5" t="str">
        <f>+VLOOKUP(C115,Sheet1!K:M,3,)</f>
        <v>279*218*1.6 FR-4 1/2 12PP Mirror copy board 83.15%-4</v>
      </c>
      <c r="E115" s="5">
        <v>2004</v>
      </c>
      <c r="F115" s="5"/>
      <c r="G115" s="5"/>
      <c r="H115" s="5"/>
      <c r="I115" s="5"/>
      <c r="J115" s="5">
        <v>2004</v>
      </c>
      <c r="K115" s="5">
        <f>300*6+168*1+36*1</f>
        <v>2004</v>
      </c>
      <c r="L115" s="5">
        <f t="shared" si="2"/>
        <v>0</v>
      </c>
      <c r="N115" s="5" t="str">
        <f t="shared" si="3"/>
        <v>IN13M0700040-00</v>
      </c>
      <c r="O115" s="5">
        <v>111</v>
      </c>
      <c r="Q115" t="str">
        <f>+VLOOKUP(N115,Sheet2!A:A,1,)</f>
        <v>IN13M0700040-00</v>
      </c>
    </row>
    <row r="116" spans="1:17" x14ac:dyDescent="0.25">
      <c r="A116" s="5" t="s">
        <v>314</v>
      </c>
      <c r="B116" s="5">
        <v>112</v>
      </c>
      <c r="C116" s="5" t="s">
        <v>301</v>
      </c>
      <c r="D116" s="5" t="str">
        <f>+VLOOKUP(C116,Sheet1!K:M,3,)</f>
        <v>279*170*1.6 FR-4 1/2 6PP Mirror copy board 83.73%-6</v>
      </c>
      <c r="E116" s="5"/>
      <c r="F116" s="5"/>
      <c r="G116" s="5"/>
      <c r="H116" s="5">
        <v>6000</v>
      </c>
      <c r="I116" s="5"/>
      <c r="J116" s="5">
        <v>6000</v>
      </c>
      <c r="K116" s="5">
        <f>150*39+48*1+102*1</f>
        <v>6000</v>
      </c>
      <c r="L116" s="5">
        <f t="shared" si="2"/>
        <v>0</v>
      </c>
      <c r="N116" s="5" t="str">
        <f t="shared" si="3"/>
        <v>IN13M1500076-00</v>
      </c>
      <c r="O116" s="5">
        <v>112</v>
      </c>
      <c r="Q116" t="str">
        <f>+VLOOKUP(N116,Sheet2!A:A,1,)</f>
        <v>IN13M1500076-00</v>
      </c>
    </row>
    <row r="117" spans="1:17" x14ac:dyDescent="0.25">
      <c r="A117" s="5"/>
      <c r="B117" s="5"/>
      <c r="C117" s="5" t="s">
        <v>306</v>
      </c>
      <c r="D117" s="5" t="e">
        <f>+VLOOKUP(C117,Sheet1!K:M,3,)</f>
        <v>#N/A</v>
      </c>
      <c r="E117" s="5"/>
      <c r="F117" s="5"/>
      <c r="G117" s="5"/>
      <c r="H117" s="5"/>
      <c r="I117" s="5"/>
      <c r="J117" s="5"/>
      <c r="K117" s="5"/>
      <c r="L117" s="5">
        <f t="shared" si="2"/>
        <v>0</v>
      </c>
      <c r="N117" s="5"/>
    </row>
    <row r="118" spans="1:17" x14ac:dyDescent="0.25">
      <c r="A118" s="5"/>
      <c r="B118" s="5"/>
      <c r="C118" s="5" t="s">
        <v>307</v>
      </c>
      <c r="D118" s="5" t="e">
        <f>+VLOOKUP(C118,Sheet1!K:M,3,)</f>
        <v>#N/A</v>
      </c>
      <c r="E118" s="5">
        <v>315704</v>
      </c>
      <c r="F118" s="5">
        <v>264000</v>
      </c>
      <c r="G118" s="5">
        <v>532500</v>
      </c>
      <c r="H118" s="5">
        <v>540000</v>
      </c>
      <c r="I118" s="5"/>
      <c r="J118" s="5">
        <v>1652204</v>
      </c>
      <c r="K118" s="5"/>
      <c r="L118" s="5">
        <f t="shared" si="2"/>
        <v>-1652204</v>
      </c>
      <c r="N118" s="5"/>
    </row>
    <row r="119" spans="1:17" x14ac:dyDescent="0.25">
      <c r="C119" s="5"/>
      <c r="D119" s="5" t="s">
        <v>2537</v>
      </c>
      <c r="E119" s="5">
        <f>71504+201000+43200</f>
        <v>315704</v>
      </c>
      <c r="F119" s="5">
        <f>108000+151000+5000</f>
        <v>264000</v>
      </c>
      <c r="G119" s="5">
        <f>137000+98500+266000+31000</f>
        <v>532500</v>
      </c>
      <c r="H119" s="5">
        <f>152538+151000+139000+72462+25000</f>
        <v>540000</v>
      </c>
      <c r="I119" s="5"/>
      <c r="J119" s="5"/>
      <c r="K119" s="5"/>
      <c r="L119" s="5"/>
      <c r="N119" s="5"/>
    </row>
    <row r="122" spans="1:17" ht="30" x14ac:dyDescent="0.25">
      <c r="C122" s="8" t="s">
        <v>2528</v>
      </c>
      <c r="D122" s="8" t="s">
        <v>2529</v>
      </c>
      <c r="E122" s="9" t="s">
        <v>2530</v>
      </c>
      <c r="F122" s="9" t="s">
        <v>2531</v>
      </c>
      <c r="G122" s="10" t="s">
        <v>2532</v>
      </c>
      <c r="H122" s="9" t="s">
        <v>2533</v>
      </c>
      <c r="I122" s="11" t="s">
        <v>2534</v>
      </c>
    </row>
    <row r="123" spans="1:17" x14ac:dyDescent="0.25">
      <c r="C123" s="12"/>
      <c r="D123" s="5"/>
      <c r="E123" s="5" t="s">
        <v>310</v>
      </c>
      <c r="F123" s="5" t="s">
        <v>2536</v>
      </c>
      <c r="G123" s="5">
        <f>71504+201000+43200</f>
        <v>315704</v>
      </c>
      <c r="H123" s="5">
        <v>315704</v>
      </c>
      <c r="I123" s="15"/>
    </row>
    <row r="124" spans="1:17" x14ac:dyDescent="0.25">
      <c r="C124" s="12"/>
      <c r="D124" s="5"/>
      <c r="E124" s="5" t="s">
        <v>311</v>
      </c>
      <c r="F124" s="5" t="s">
        <v>2536</v>
      </c>
      <c r="G124" s="5">
        <f>108000+151000+5000</f>
        <v>264000</v>
      </c>
      <c r="H124" s="5">
        <v>264000</v>
      </c>
      <c r="I124" s="15"/>
    </row>
    <row r="125" spans="1:17" x14ac:dyDescent="0.25">
      <c r="C125" s="12"/>
      <c r="D125" s="5"/>
      <c r="E125" s="5" t="s">
        <v>312</v>
      </c>
      <c r="F125" s="5" t="s">
        <v>2536</v>
      </c>
      <c r="G125" s="5">
        <f>137000+98500+266000+31000</f>
        <v>532500</v>
      </c>
      <c r="H125" s="5">
        <v>532500</v>
      </c>
      <c r="I125" s="15"/>
    </row>
    <row r="126" spans="1:17" x14ac:dyDescent="0.25">
      <c r="C126" s="12"/>
      <c r="D126" s="5"/>
      <c r="E126" s="5" t="s">
        <v>313</v>
      </c>
      <c r="F126" s="5" t="s">
        <v>2536</v>
      </c>
      <c r="G126" s="5">
        <f>152538+151000+139000+72462+25000</f>
        <v>540000</v>
      </c>
      <c r="H126" s="5">
        <v>540000</v>
      </c>
      <c r="I126" s="15"/>
    </row>
    <row r="127" spans="1:17" x14ac:dyDescent="0.25">
      <c r="C127" s="12" t="s">
        <v>2535</v>
      </c>
      <c r="D127" s="5"/>
      <c r="E127" s="5"/>
      <c r="F127" s="5"/>
      <c r="G127" s="13">
        <f>SUM(G123:G126)</f>
        <v>1652204</v>
      </c>
      <c r="H127" s="5">
        <f>SUM(H123:H126)</f>
        <v>1652204</v>
      </c>
      <c r="I127" s="15"/>
    </row>
  </sheetData>
  <autoFilter ref="A4:O118"/>
  <mergeCells count="2">
    <mergeCell ref="A1:O2"/>
    <mergeCell ref="I123:I127"/>
  </mergeCells>
  <pageMargins left="0.7" right="0.7" top="0.75" bottom="0.75" header="0.3" footer="0.3"/>
  <pageSetup paperSize="313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5"/>
  <sheetViews>
    <sheetView topLeftCell="I1" workbookViewId="0">
      <selection activeCell="A3" sqref="A1:XFD1048576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12.28515625" bestFit="1" customWidth="1"/>
    <col min="4" max="4" width="12.42578125" bestFit="1" customWidth="1"/>
    <col min="6" max="6" width="31.7109375" bestFit="1" customWidth="1"/>
    <col min="7" max="7" width="10.140625" bestFit="1" customWidth="1"/>
    <col min="8" max="9" width="36.5703125" bestFit="1" customWidth="1"/>
    <col min="10" max="10" width="9" bestFit="1" customWidth="1"/>
    <col min="11" max="11" width="28" bestFit="1" customWidth="1"/>
    <col min="12" max="13" width="36.5703125" bestFit="1" customWidth="1"/>
    <col min="14" max="14" width="16.42578125" bestFit="1" customWidth="1"/>
    <col min="15" max="15" width="36.5703125" bestFit="1" customWidth="1"/>
    <col min="16" max="16" width="20.42578125" bestFit="1" customWidth="1"/>
    <col min="17" max="17" width="27.28515625" bestFit="1" customWidth="1"/>
    <col min="18" max="18" width="13.85546875" bestFit="1" customWidth="1"/>
    <col min="19" max="20" width="15.28515625" bestFit="1" customWidth="1"/>
    <col min="21" max="21" width="36.5703125" bestFit="1" customWidth="1"/>
    <col min="22" max="22" width="19.85546875" bestFit="1" customWidth="1"/>
    <col min="23" max="24" width="19.7109375" bestFit="1" customWidth="1"/>
    <col min="25" max="25" width="31" bestFit="1" customWidth="1"/>
    <col min="26" max="26" width="21.7109375" bestFit="1" customWidth="1"/>
    <col min="27" max="27" width="36.5703125" bestFit="1" customWidth="1"/>
  </cols>
  <sheetData>
    <row r="1" spans="1:27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ht="16.5" customHeight="1" x14ac:dyDescent="0.25">
      <c r="A2" s="2" t="s">
        <v>25</v>
      </c>
      <c r="B2" s="2" t="s">
        <v>26</v>
      </c>
      <c r="C2" s="2" t="s">
        <v>27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/>
      <c r="J2" s="3">
        <v>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4">
        <v>4000</v>
      </c>
      <c r="R2" s="2" t="s">
        <v>38</v>
      </c>
      <c r="S2" s="4">
        <v>4000</v>
      </c>
      <c r="T2" s="2" t="s">
        <v>39</v>
      </c>
      <c r="U2" s="2" t="s">
        <v>40</v>
      </c>
      <c r="V2" s="2" t="s">
        <v>37</v>
      </c>
      <c r="W2" s="3">
        <v>0</v>
      </c>
      <c r="X2" s="3">
        <v>0</v>
      </c>
      <c r="Y2" s="2"/>
      <c r="Z2" s="3">
        <v>0</v>
      </c>
      <c r="AA2" s="2"/>
    </row>
    <row r="3" spans="1:27" ht="16.5" customHeight="1" x14ac:dyDescent="0.25">
      <c r="A3" s="2" t="s">
        <v>25</v>
      </c>
      <c r="B3" s="2" t="s">
        <v>26</v>
      </c>
      <c r="C3" s="2" t="s">
        <v>27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/>
      <c r="J3" s="3">
        <v>2</v>
      </c>
      <c r="K3" s="2" t="s">
        <v>41</v>
      </c>
      <c r="L3" s="2" t="s">
        <v>42</v>
      </c>
      <c r="M3" s="2" t="s">
        <v>43</v>
      </c>
      <c r="N3" s="2" t="s">
        <v>35</v>
      </c>
      <c r="O3" s="2" t="s">
        <v>36</v>
      </c>
      <c r="P3" s="2" t="s">
        <v>44</v>
      </c>
      <c r="Q3" s="4">
        <v>15000</v>
      </c>
      <c r="R3" s="2" t="s">
        <v>38</v>
      </c>
      <c r="S3" s="4">
        <v>15000</v>
      </c>
      <c r="T3" s="2" t="s">
        <v>39</v>
      </c>
      <c r="U3" s="2" t="s">
        <v>40</v>
      </c>
      <c r="V3" s="2" t="s">
        <v>44</v>
      </c>
      <c r="W3" s="3">
        <v>0</v>
      </c>
      <c r="X3" s="3">
        <v>0</v>
      </c>
      <c r="Y3" s="2"/>
      <c r="Z3" s="3">
        <v>0</v>
      </c>
      <c r="AA3" s="2"/>
    </row>
    <row r="4" spans="1:27" ht="16.5" customHeight="1" x14ac:dyDescent="0.25">
      <c r="A4" s="2" t="s">
        <v>25</v>
      </c>
      <c r="B4" s="2" t="s">
        <v>26</v>
      </c>
      <c r="C4" s="2" t="s">
        <v>27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/>
      <c r="J4" s="3">
        <v>3</v>
      </c>
      <c r="K4" s="2" t="s">
        <v>45</v>
      </c>
      <c r="L4" s="2" t="s">
        <v>46</v>
      </c>
      <c r="M4" s="2" t="s">
        <v>47</v>
      </c>
      <c r="N4" s="2" t="s">
        <v>35</v>
      </c>
      <c r="O4" s="2" t="s">
        <v>36</v>
      </c>
      <c r="P4" s="2" t="s">
        <v>48</v>
      </c>
      <c r="Q4" s="4">
        <v>3000</v>
      </c>
      <c r="R4" s="2" t="s">
        <v>38</v>
      </c>
      <c r="S4" s="4">
        <v>3000</v>
      </c>
      <c r="T4" s="2" t="s">
        <v>39</v>
      </c>
      <c r="U4" s="2" t="s">
        <v>40</v>
      </c>
      <c r="V4" s="2" t="s">
        <v>48</v>
      </c>
      <c r="W4" s="3">
        <v>0</v>
      </c>
      <c r="X4" s="3">
        <v>0</v>
      </c>
      <c r="Y4" s="2"/>
      <c r="Z4" s="3">
        <v>0</v>
      </c>
      <c r="AA4" s="2"/>
    </row>
    <row r="5" spans="1:27" ht="16.5" customHeight="1" x14ac:dyDescent="0.25">
      <c r="A5" s="2" t="s">
        <v>25</v>
      </c>
      <c r="B5" s="2" t="s">
        <v>26</v>
      </c>
      <c r="C5" s="2" t="s">
        <v>27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/>
      <c r="J5" s="3">
        <v>4</v>
      </c>
      <c r="K5" s="2" t="s">
        <v>49</v>
      </c>
      <c r="L5" s="2" t="s">
        <v>50</v>
      </c>
      <c r="M5" s="2" t="s">
        <v>51</v>
      </c>
      <c r="N5" s="2" t="s">
        <v>35</v>
      </c>
      <c r="O5" s="2" t="s">
        <v>36</v>
      </c>
      <c r="P5" s="2" t="s">
        <v>44</v>
      </c>
      <c r="Q5" s="4">
        <v>2004</v>
      </c>
      <c r="R5" s="2" t="s">
        <v>38</v>
      </c>
      <c r="S5" s="4">
        <v>2004</v>
      </c>
      <c r="T5" s="2" t="s">
        <v>39</v>
      </c>
      <c r="U5" s="2" t="s">
        <v>40</v>
      </c>
      <c r="V5" s="2" t="s">
        <v>44</v>
      </c>
      <c r="W5" s="3">
        <v>0</v>
      </c>
      <c r="X5" s="3">
        <v>0</v>
      </c>
      <c r="Y5" s="2"/>
      <c r="Z5" s="3">
        <v>0</v>
      </c>
      <c r="AA5" s="2"/>
    </row>
    <row r="6" spans="1:27" ht="16.5" customHeight="1" x14ac:dyDescent="0.25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/>
      <c r="J6" s="3">
        <v>5</v>
      </c>
      <c r="K6" s="2" t="s">
        <v>52</v>
      </c>
      <c r="L6" s="2" t="s">
        <v>53</v>
      </c>
      <c r="M6" s="2" t="s">
        <v>54</v>
      </c>
      <c r="N6" s="2" t="s">
        <v>35</v>
      </c>
      <c r="O6" s="2" t="s">
        <v>36</v>
      </c>
      <c r="P6" s="2" t="s">
        <v>44</v>
      </c>
      <c r="Q6" s="4">
        <v>20000</v>
      </c>
      <c r="R6" s="2" t="s">
        <v>38</v>
      </c>
      <c r="S6" s="4">
        <v>20000</v>
      </c>
      <c r="T6" s="2" t="s">
        <v>39</v>
      </c>
      <c r="U6" s="2" t="s">
        <v>40</v>
      </c>
      <c r="V6" s="2" t="s">
        <v>44</v>
      </c>
      <c r="W6" s="3">
        <v>0</v>
      </c>
      <c r="X6" s="3">
        <v>0</v>
      </c>
      <c r="Y6" s="2"/>
      <c r="Z6" s="3">
        <v>0</v>
      </c>
      <c r="AA6" s="2"/>
    </row>
    <row r="7" spans="1:27" ht="16.5" customHeight="1" x14ac:dyDescent="0.25">
      <c r="A7" s="2" t="s">
        <v>25</v>
      </c>
      <c r="B7" s="2" t="s">
        <v>26</v>
      </c>
      <c r="C7" s="2" t="s">
        <v>27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/>
      <c r="J7" s="3">
        <v>6</v>
      </c>
      <c r="K7" s="2" t="s">
        <v>55</v>
      </c>
      <c r="L7" s="2" t="s">
        <v>56</v>
      </c>
      <c r="M7" s="2" t="s">
        <v>57</v>
      </c>
      <c r="N7" s="2" t="s">
        <v>35</v>
      </c>
      <c r="O7" s="2" t="s">
        <v>36</v>
      </c>
      <c r="P7" s="2" t="s">
        <v>58</v>
      </c>
      <c r="Q7" s="4">
        <v>2500</v>
      </c>
      <c r="R7" s="2" t="s">
        <v>38</v>
      </c>
      <c r="S7" s="4">
        <v>2500</v>
      </c>
      <c r="T7" s="2" t="s">
        <v>39</v>
      </c>
      <c r="U7" s="2" t="s">
        <v>40</v>
      </c>
      <c r="V7" s="2" t="s">
        <v>58</v>
      </c>
      <c r="W7" s="3">
        <v>0</v>
      </c>
      <c r="X7" s="3">
        <v>0</v>
      </c>
      <c r="Y7" s="2"/>
      <c r="Z7" s="3">
        <v>0</v>
      </c>
      <c r="AA7" s="2"/>
    </row>
    <row r="8" spans="1:27" ht="16.5" customHeight="1" x14ac:dyDescent="0.25">
      <c r="A8" s="2" t="s">
        <v>25</v>
      </c>
      <c r="B8" s="2" t="s">
        <v>26</v>
      </c>
      <c r="C8" s="2" t="s">
        <v>27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  <c r="I8" s="2"/>
      <c r="J8" s="3">
        <v>7</v>
      </c>
      <c r="K8" s="2" t="s">
        <v>59</v>
      </c>
      <c r="L8" s="2" t="s">
        <v>60</v>
      </c>
      <c r="M8" s="2" t="s">
        <v>61</v>
      </c>
      <c r="N8" s="2" t="s">
        <v>35</v>
      </c>
      <c r="O8" s="2" t="s">
        <v>36</v>
      </c>
      <c r="P8" s="2" t="s">
        <v>58</v>
      </c>
      <c r="Q8" s="4">
        <v>10000</v>
      </c>
      <c r="R8" s="2" t="s">
        <v>38</v>
      </c>
      <c r="S8" s="4">
        <v>10000</v>
      </c>
      <c r="T8" s="2" t="s">
        <v>39</v>
      </c>
      <c r="U8" s="2" t="s">
        <v>40</v>
      </c>
      <c r="V8" s="2" t="s">
        <v>58</v>
      </c>
      <c r="W8" s="3">
        <v>0</v>
      </c>
      <c r="X8" s="3">
        <v>0</v>
      </c>
      <c r="Y8" s="2"/>
      <c r="Z8" s="3">
        <v>0</v>
      </c>
      <c r="AA8" s="2"/>
    </row>
    <row r="9" spans="1:27" ht="16.5" customHeight="1" x14ac:dyDescent="0.25">
      <c r="A9" s="2" t="s">
        <v>25</v>
      </c>
      <c r="B9" s="2" t="s">
        <v>26</v>
      </c>
      <c r="C9" s="2" t="s">
        <v>27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2"/>
      <c r="J9" s="3">
        <v>9</v>
      </c>
      <c r="K9" s="2" t="s">
        <v>62</v>
      </c>
      <c r="L9" s="2" t="s">
        <v>33</v>
      </c>
      <c r="M9" s="2" t="s">
        <v>63</v>
      </c>
      <c r="N9" s="2" t="s">
        <v>35</v>
      </c>
      <c r="O9" s="2" t="s">
        <v>36</v>
      </c>
      <c r="P9" s="2" t="s">
        <v>37</v>
      </c>
      <c r="Q9" s="4">
        <v>3000</v>
      </c>
      <c r="R9" s="2" t="s">
        <v>38</v>
      </c>
      <c r="S9" s="4">
        <v>3000</v>
      </c>
      <c r="T9" s="2" t="s">
        <v>39</v>
      </c>
      <c r="U9" s="2" t="s">
        <v>40</v>
      </c>
      <c r="V9" s="2" t="s">
        <v>37</v>
      </c>
      <c r="W9" s="3">
        <v>0</v>
      </c>
      <c r="X9" s="3">
        <v>0</v>
      </c>
      <c r="Y9" s="2"/>
      <c r="Z9" s="3">
        <v>0</v>
      </c>
      <c r="AA9" s="2"/>
    </row>
    <row r="10" spans="1:27" ht="16.5" customHeight="1" x14ac:dyDescent="0.25">
      <c r="A10" s="2" t="s">
        <v>25</v>
      </c>
      <c r="B10" s="2" t="s">
        <v>26</v>
      </c>
      <c r="C10" s="2" t="s">
        <v>27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  <c r="I10" s="2"/>
      <c r="J10" s="3">
        <v>10</v>
      </c>
      <c r="K10" s="2" t="s">
        <v>64</v>
      </c>
      <c r="L10" s="2" t="s">
        <v>65</v>
      </c>
      <c r="M10" s="2" t="s">
        <v>66</v>
      </c>
      <c r="N10" s="2" t="s">
        <v>35</v>
      </c>
      <c r="O10" s="2" t="s">
        <v>36</v>
      </c>
      <c r="P10" s="2" t="s">
        <v>44</v>
      </c>
      <c r="Q10" s="4">
        <v>8000</v>
      </c>
      <c r="R10" s="2" t="s">
        <v>38</v>
      </c>
      <c r="S10" s="4">
        <v>8000</v>
      </c>
      <c r="T10" s="2" t="s">
        <v>39</v>
      </c>
      <c r="U10" s="2" t="s">
        <v>40</v>
      </c>
      <c r="V10" s="2" t="s">
        <v>44</v>
      </c>
      <c r="W10" s="3">
        <v>0</v>
      </c>
      <c r="X10" s="3">
        <v>0</v>
      </c>
      <c r="Y10" s="2"/>
      <c r="Z10" s="3">
        <v>0</v>
      </c>
      <c r="AA10" s="2"/>
    </row>
    <row r="11" spans="1:27" ht="16.5" customHeight="1" x14ac:dyDescent="0.25">
      <c r="A11" s="2" t="s">
        <v>25</v>
      </c>
      <c r="B11" s="2" t="s">
        <v>26</v>
      </c>
      <c r="C11" s="2" t="s">
        <v>27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  <c r="I11" s="2"/>
      <c r="J11" s="3">
        <v>11</v>
      </c>
      <c r="K11" s="2" t="s">
        <v>67</v>
      </c>
      <c r="L11" s="2" t="s">
        <v>33</v>
      </c>
      <c r="M11" s="2" t="s">
        <v>68</v>
      </c>
      <c r="N11" s="2" t="s">
        <v>35</v>
      </c>
      <c r="O11" s="2" t="s">
        <v>36</v>
      </c>
      <c r="P11" s="2" t="s">
        <v>44</v>
      </c>
      <c r="Q11" s="4">
        <v>4000</v>
      </c>
      <c r="R11" s="2" t="s">
        <v>38</v>
      </c>
      <c r="S11" s="4">
        <v>4000</v>
      </c>
      <c r="T11" s="2" t="s">
        <v>39</v>
      </c>
      <c r="U11" s="2" t="s">
        <v>40</v>
      </c>
      <c r="V11" s="2" t="s">
        <v>44</v>
      </c>
      <c r="W11" s="3">
        <v>0</v>
      </c>
      <c r="X11" s="3">
        <v>0</v>
      </c>
      <c r="Y11" s="2"/>
      <c r="Z11" s="3">
        <v>0</v>
      </c>
      <c r="AA11" s="2"/>
    </row>
    <row r="12" spans="1:27" ht="16.5" customHeight="1" x14ac:dyDescent="0.25">
      <c r="A12" s="2" t="s">
        <v>25</v>
      </c>
      <c r="B12" s="2" t="s">
        <v>26</v>
      </c>
      <c r="C12" s="2" t="s">
        <v>27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31</v>
      </c>
      <c r="I12" s="2"/>
      <c r="J12" s="3">
        <v>12</v>
      </c>
      <c r="K12" s="2" t="s">
        <v>69</v>
      </c>
      <c r="L12" s="2" t="s">
        <v>53</v>
      </c>
      <c r="M12" s="2" t="s">
        <v>70</v>
      </c>
      <c r="N12" s="2" t="s">
        <v>35</v>
      </c>
      <c r="O12" s="2" t="s">
        <v>36</v>
      </c>
      <c r="P12" s="2" t="s">
        <v>37</v>
      </c>
      <c r="Q12" s="4">
        <v>30000</v>
      </c>
      <c r="R12" s="2" t="s">
        <v>38</v>
      </c>
      <c r="S12" s="4">
        <v>30000</v>
      </c>
      <c r="T12" s="2" t="s">
        <v>39</v>
      </c>
      <c r="U12" s="2" t="s">
        <v>40</v>
      </c>
      <c r="V12" s="2" t="s">
        <v>37</v>
      </c>
      <c r="W12" s="3">
        <v>0</v>
      </c>
      <c r="X12" s="3">
        <v>0</v>
      </c>
      <c r="Y12" s="2"/>
      <c r="Z12" s="3">
        <v>0</v>
      </c>
      <c r="AA12" s="2"/>
    </row>
    <row r="13" spans="1:27" ht="16.5" customHeight="1" x14ac:dyDescent="0.25">
      <c r="A13" s="2" t="s">
        <v>25</v>
      </c>
      <c r="B13" s="2" t="s">
        <v>26</v>
      </c>
      <c r="C13" s="2" t="s">
        <v>27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/>
      <c r="J13" s="3">
        <v>13</v>
      </c>
      <c r="K13" s="2" t="s">
        <v>71</v>
      </c>
      <c r="L13" s="2" t="s">
        <v>33</v>
      </c>
      <c r="M13" s="2" t="s">
        <v>72</v>
      </c>
      <c r="N13" s="2" t="s">
        <v>35</v>
      </c>
      <c r="O13" s="2" t="s">
        <v>36</v>
      </c>
      <c r="P13" s="2" t="s">
        <v>37</v>
      </c>
      <c r="Q13" s="4">
        <v>20000</v>
      </c>
      <c r="R13" s="2" t="s">
        <v>38</v>
      </c>
      <c r="S13" s="4">
        <v>20000</v>
      </c>
      <c r="T13" s="2" t="s">
        <v>39</v>
      </c>
      <c r="U13" s="2" t="s">
        <v>40</v>
      </c>
      <c r="V13" s="2" t="s">
        <v>37</v>
      </c>
      <c r="W13" s="3">
        <v>0</v>
      </c>
      <c r="X13" s="3">
        <v>0</v>
      </c>
      <c r="Y13" s="2"/>
      <c r="Z13" s="3">
        <v>0</v>
      </c>
      <c r="AA13" s="2"/>
    </row>
    <row r="14" spans="1:27" ht="16.5" customHeight="1" x14ac:dyDescent="0.25">
      <c r="A14" s="2" t="s">
        <v>25</v>
      </c>
      <c r="B14" s="2" t="s">
        <v>26</v>
      </c>
      <c r="C14" s="2" t="s">
        <v>27</v>
      </c>
      <c r="D14" s="2" t="s">
        <v>27</v>
      </c>
      <c r="E14" s="2" t="s">
        <v>28</v>
      </c>
      <c r="F14" s="2" t="s">
        <v>29</v>
      </c>
      <c r="G14" s="2" t="s">
        <v>30</v>
      </c>
      <c r="H14" s="2" t="s">
        <v>31</v>
      </c>
      <c r="I14" s="2"/>
      <c r="J14" s="3">
        <v>14</v>
      </c>
      <c r="K14" s="2" t="s">
        <v>73</v>
      </c>
      <c r="L14" s="2" t="s">
        <v>74</v>
      </c>
      <c r="M14" s="2" t="s">
        <v>75</v>
      </c>
      <c r="N14" s="2" t="s">
        <v>35</v>
      </c>
      <c r="O14" s="2" t="s">
        <v>36</v>
      </c>
      <c r="P14" s="2" t="s">
        <v>76</v>
      </c>
      <c r="Q14" s="4">
        <v>54000</v>
      </c>
      <c r="R14" s="2" t="s">
        <v>38</v>
      </c>
      <c r="S14" s="4">
        <v>54000</v>
      </c>
      <c r="T14" s="2" t="s">
        <v>39</v>
      </c>
      <c r="U14" s="2" t="s">
        <v>40</v>
      </c>
      <c r="V14" s="2" t="s">
        <v>76</v>
      </c>
      <c r="W14" s="3">
        <v>0</v>
      </c>
      <c r="X14" s="3">
        <v>0</v>
      </c>
      <c r="Y14" s="2"/>
      <c r="Z14" s="3">
        <v>0</v>
      </c>
      <c r="AA14" s="2"/>
    </row>
    <row r="15" spans="1:27" ht="16.5" customHeight="1" x14ac:dyDescent="0.25">
      <c r="A15" s="2" t="s">
        <v>25</v>
      </c>
      <c r="B15" s="2" t="s">
        <v>26</v>
      </c>
      <c r="C15" s="2" t="s">
        <v>27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/>
      <c r="J15" s="3">
        <v>15</v>
      </c>
      <c r="K15" s="2" t="s">
        <v>77</v>
      </c>
      <c r="L15" s="2" t="s">
        <v>78</v>
      </c>
      <c r="M15" s="2" t="s">
        <v>79</v>
      </c>
      <c r="N15" s="2" t="s">
        <v>35</v>
      </c>
      <c r="O15" s="2" t="s">
        <v>36</v>
      </c>
      <c r="P15" s="2" t="s">
        <v>58</v>
      </c>
      <c r="Q15" s="4">
        <v>24000</v>
      </c>
      <c r="R15" s="2" t="s">
        <v>38</v>
      </c>
      <c r="S15" s="4">
        <v>24000</v>
      </c>
      <c r="T15" s="2" t="s">
        <v>39</v>
      </c>
      <c r="U15" s="2" t="s">
        <v>40</v>
      </c>
      <c r="V15" s="2" t="s">
        <v>58</v>
      </c>
      <c r="W15" s="3">
        <v>0</v>
      </c>
      <c r="X15" s="3">
        <v>0</v>
      </c>
      <c r="Y15" s="2"/>
      <c r="Z15" s="3">
        <v>0</v>
      </c>
      <c r="AA15" s="2"/>
    </row>
    <row r="16" spans="1:27" ht="16.5" customHeight="1" x14ac:dyDescent="0.25">
      <c r="A16" s="2" t="s">
        <v>25</v>
      </c>
      <c r="B16" s="2" t="s">
        <v>26</v>
      </c>
      <c r="C16" s="2" t="s">
        <v>27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/>
      <c r="J16" s="3">
        <v>16</v>
      </c>
      <c r="K16" s="2" t="s">
        <v>80</v>
      </c>
      <c r="L16" s="2" t="s">
        <v>33</v>
      </c>
      <c r="M16" s="2" t="s">
        <v>81</v>
      </c>
      <c r="N16" s="2" t="s">
        <v>35</v>
      </c>
      <c r="O16" s="2" t="s">
        <v>36</v>
      </c>
      <c r="P16" s="2" t="s">
        <v>58</v>
      </c>
      <c r="Q16" s="4">
        <v>2000</v>
      </c>
      <c r="R16" s="2" t="s">
        <v>38</v>
      </c>
      <c r="S16" s="4">
        <v>2000</v>
      </c>
      <c r="T16" s="2" t="s">
        <v>39</v>
      </c>
      <c r="U16" s="2" t="s">
        <v>40</v>
      </c>
      <c r="V16" s="2" t="s">
        <v>58</v>
      </c>
      <c r="W16" s="3">
        <v>0</v>
      </c>
      <c r="X16" s="3">
        <v>0</v>
      </c>
      <c r="Y16" s="2"/>
      <c r="Z16" s="3">
        <v>0</v>
      </c>
      <c r="AA16" s="2"/>
    </row>
    <row r="17" spans="1:27" ht="16.5" customHeight="1" x14ac:dyDescent="0.25">
      <c r="A17" s="2" t="s">
        <v>25</v>
      </c>
      <c r="B17" s="2" t="s">
        <v>26</v>
      </c>
      <c r="C17" s="2" t="s">
        <v>27</v>
      </c>
      <c r="D17" s="2" t="s">
        <v>27</v>
      </c>
      <c r="E17" s="2" t="s">
        <v>28</v>
      </c>
      <c r="F17" s="2" t="s">
        <v>29</v>
      </c>
      <c r="G17" s="2" t="s">
        <v>30</v>
      </c>
      <c r="H17" s="2" t="s">
        <v>31</v>
      </c>
      <c r="I17" s="2"/>
      <c r="J17" s="3">
        <v>17</v>
      </c>
      <c r="K17" s="2" t="s">
        <v>82</v>
      </c>
      <c r="L17" s="2" t="s">
        <v>53</v>
      </c>
      <c r="M17" s="2" t="s">
        <v>83</v>
      </c>
      <c r="N17" s="2" t="s">
        <v>35</v>
      </c>
      <c r="O17" s="2" t="s">
        <v>36</v>
      </c>
      <c r="P17" s="2" t="s">
        <v>44</v>
      </c>
      <c r="Q17" s="4">
        <v>10000</v>
      </c>
      <c r="R17" s="2" t="s">
        <v>38</v>
      </c>
      <c r="S17" s="4">
        <v>10000</v>
      </c>
      <c r="T17" s="2" t="s">
        <v>39</v>
      </c>
      <c r="U17" s="2" t="s">
        <v>40</v>
      </c>
      <c r="V17" s="2" t="s">
        <v>44</v>
      </c>
      <c r="W17" s="3">
        <v>0</v>
      </c>
      <c r="X17" s="3">
        <v>0</v>
      </c>
      <c r="Y17" s="2"/>
      <c r="Z17" s="3">
        <v>0</v>
      </c>
      <c r="AA17" s="2"/>
    </row>
    <row r="18" spans="1:27" ht="16.5" customHeight="1" x14ac:dyDescent="0.25">
      <c r="A18" s="2" t="s">
        <v>25</v>
      </c>
      <c r="B18" s="2" t="s">
        <v>26</v>
      </c>
      <c r="C18" s="2" t="s">
        <v>27</v>
      </c>
      <c r="D18" s="2" t="s">
        <v>27</v>
      </c>
      <c r="E18" s="2" t="s">
        <v>28</v>
      </c>
      <c r="F18" s="2" t="s">
        <v>29</v>
      </c>
      <c r="G18" s="2" t="s">
        <v>30</v>
      </c>
      <c r="H18" s="2" t="s">
        <v>31</v>
      </c>
      <c r="I18" s="2"/>
      <c r="J18" s="3">
        <v>18</v>
      </c>
      <c r="K18" s="2" t="s">
        <v>84</v>
      </c>
      <c r="L18" s="2" t="s">
        <v>53</v>
      </c>
      <c r="M18" s="2" t="s">
        <v>85</v>
      </c>
      <c r="N18" s="2" t="s">
        <v>35</v>
      </c>
      <c r="O18" s="2" t="s">
        <v>36</v>
      </c>
      <c r="P18" s="2" t="s">
        <v>58</v>
      </c>
      <c r="Q18" s="4">
        <v>5000</v>
      </c>
      <c r="R18" s="2" t="s">
        <v>38</v>
      </c>
      <c r="S18" s="4">
        <v>5000</v>
      </c>
      <c r="T18" s="2" t="s">
        <v>39</v>
      </c>
      <c r="U18" s="2" t="s">
        <v>40</v>
      </c>
      <c r="V18" s="2" t="s">
        <v>58</v>
      </c>
      <c r="W18" s="3">
        <v>0</v>
      </c>
      <c r="X18" s="3">
        <v>0</v>
      </c>
      <c r="Y18" s="2"/>
      <c r="Z18" s="3">
        <v>0</v>
      </c>
      <c r="AA18" s="2"/>
    </row>
    <row r="19" spans="1:27" ht="16.5" customHeight="1" x14ac:dyDescent="0.25">
      <c r="A19" s="2" t="s">
        <v>25</v>
      </c>
      <c r="B19" s="2" t="s">
        <v>26</v>
      </c>
      <c r="C19" s="2" t="s">
        <v>27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31</v>
      </c>
      <c r="I19" s="2"/>
      <c r="J19" s="3">
        <v>19</v>
      </c>
      <c r="K19" s="2" t="s">
        <v>86</v>
      </c>
      <c r="L19" s="2" t="s">
        <v>53</v>
      </c>
      <c r="M19" s="2" t="s">
        <v>87</v>
      </c>
      <c r="N19" s="2" t="s">
        <v>35</v>
      </c>
      <c r="O19" s="2" t="s">
        <v>36</v>
      </c>
      <c r="P19" s="2" t="s">
        <v>37</v>
      </c>
      <c r="Q19" s="4">
        <v>15000</v>
      </c>
      <c r="R19" s="2" t="s">
        <v>38</v>
      </c>
      <c r="S19" s="4">
        <v>15000</v>
      </c>
      <c r="T19" s="2" t="s">
        <v>39</v>
      </c>
      <c r="U19" s="2" t="s">
        <v>40</v>
      </c>
      <c r="V19" s="2" t="s">
        <v>37</v>
      </c>
      <c r="W19" s="3">
        <v>0</v>
      </c>
      <c r="X19" s="3">
        <v>0</v>
      </c>
      <c r="Y19" s="2"/>
      <c r="Z19" s="3">
        <v>0</v>
      </c>
      <c r="AA19" s="2"/>
    </row>
    <row r="20" spans="1:27" ht="16.5" customHeight="1" x14ac:dyDescent="0.25">
      <c r="A20" s="2" t="s">
        <v>25</v>
      </c>
      <c r="B20" s="2" t="s">
        <v>26</v>
      </c>
      <c r="C20" s="2" t="s">
        <v>27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31</v>
      </c>
      <c r="I20" s="2"/>
      <c r="J20" s="3">
        <v>20</v>
      </c>
      <c r="K20" s="2" t="s">
        <v>88</v>
      </c>
      <c r="L20" s="2" t="s">
        <v>53</v>
      </c>
      <c r="M20" s="2" t="s">
        <v>89</v>
      </c>
      <c r="N20" s="2" t="s">
        <v>35</v>
      </c>
      <c r="O20" s="2" t="s">
        <v>36</v>
      </c>
      <c r="P20" s="2" t="s">
        <v>58</v>
      </c>
      <c r="Q20" s="4">
        <v>20000</v>
      </c>
      <c r="R20" s="2" t="s">
        <v>38</v>
      </c>
      <c r="S20" s="4">
        <v>20000</v>
      </c>
      <c r="T20" s="2" t="s">
        <v>39</v>
      </c>
      <c r="U20" s="2" t="s">
        <v>40</v>
      </c>
      <c r="V20" s="2" t="s">
        <v>58</v>
      </c>
      <c r="W20" s="3">
        <v>0</v>
      </c>
      <c r="X20" s="3">
        <v>0</v>
      </c>
      <c r="Y20" s="2"/>
      <c r="Z20" s="3">
        <v>0</v>
      </c>
      <c r="AA20" s="2"/>
    </row>
    <row r="21" spans="1:27" ht="16.5" customHeight="1" x14ac:dyDescent="0.25">
      <c r="A21" s="2" t="s">
        <v>25</v>
      </c>
      <c r="B21" s="2" t="s">
        <v>26</v>
      </c>
      <c r="C21" s="2" t="s">
        <v>27</v>
      </c>
      <c r="D21" s="2" t="s">
        <v>27</v>
      </c>
      <c r="E21" s="2" t="s">
        <v>28</v>
      </c>
      <c r="F21" s="2" t="s">
        <v>29</v>
      </c>
      <c r="G21" s="2" t="s">
        <v>30</v>
      </c>
      <c r="H21" s="2" t="s">
        <v>31</v>
      </c>
      <c r="I21" s="2"/>
      <c r="J21" s="3">
        <v>21</v>
      </c>
      <c r="K21" s="2" t="s">
        <v>90</v>
      </c>
      <c r="L21" s="2" t="s">
        <v>33</v>
      </c>
      <c r="M21" s="2" t="s">
        <v>91</v>
      </c>
      <c r="N21" s="2" t="s">
        <v>35</v>
      </c>
      <c r="O21" s="2" t="s">
        <v>36</v>
      </c>
      <c r="P21" s="2" t="s">
        <v>37</v>
      </c>
      <c r="Q21" s="4">
        <v>21000</v>
      </c>
      <c r="R21" s="2" t="s">
        <v>38</v>
      </c>
      <c r="S21" s="4">
        <v>21000</v>
      </c>
      <c r="T21" s="2" t="s">
        <v>39</v>
      </c>
      <c r="U21" s="2" t="s">
        <v>40</v>
      </c>
      <c r="V21" s="2" t="s">
        <v>37</v>
      </c>
      <c r="W21" s="3">
        <v>0</v>
      </c>
      <c r="X21" s="3">
        <v>0</v>
      </c>
      <c r="Y21" s="2"/>
      <c r="Z21" s="3">
        <v>0</v>
      </c>
      <c r="AA21" s="2"/>
    </row>
    <row r="22" spans="1:27" ht="16.5" customHeight="1" x14ac:dyDescent="0.25">
      <c r="A22" s="2" t="s">
        <v>25</v>
      </c>
      <c r="B22" s="2" t="s">
        <v>26</v>
      </c>
      <c r="C22" s="2" t="s">
        <v>27</v>
      </c>
      <c r="D22" s="2" t="s">
        <v>27</v>
      </c>
      <c r="E22" s="2" t="s">
        <v>28</v>
      </c>
      <c r="F22" s="2" t="s">
        <v>29</v>
      </c>
      <c r="G22" s="2" t="s">
        <v>30</v>
      </c>
      <c r="H22" s="2" t="s">
        <v>31</v>
      </c>
      <c r="I22" s="2"/>
      <c r="J22" s="3">
        <v>22</v>
      </c>
      <c r="K22" s="2" t="s">
        <v>92</v>
      </c>
      <c r="L22" s="2" t="s">
        <v>93</v>
      </c>
      <c r="M22" s="2" t="s">
        <v>94</v>
      </c>
      <c r="N22" s="2" t="s">
        <v>35</v>
      </c>
      <c r="O22" s="2" t="s">
        <v>36</v>
      </c>
      <c r="P22" s="2" t="s">
        <v>44</v>
      </c>
      <c r="Q22" s="4">
        <v>20000</v>
      </c>
      <c r="R22" s="2" t="s">
        <v>38</v>
      </c>
      <c r="S22" s="4">
        <v>20000</v>
      </c>
      <c r="T22" s="2" t="s">
        <v>39</v>
      </c>
      <c r="U22" s="2" t="s">
        <v>40</v>
      </c>
      <c r="V22" s="2" t="s">
        <v>44</v>
      </c>
      <c r="W22" s="3">
        <v>0</v>
      </c>
      <c r="X22" s="3">
        <v>0</v>
      </c>
      <c r="Y22" s="2"/>
      <c r="Z22" s="3">
        <v>0</v>
      </c>
      <c r="AA22" s="2"/>
    </row>
    <row r="23" spans="1:27" ht="16.5" customHeight="1" x14ac:dyDescent="0.25">
      <c r="A23" s="2" t="s">
        <v>25</v>
      </c>
      <c r="B23" s="2" t="s">
        <v>26</v>
      </c>
      <c r="C23" s="2" t="s">
        <v>27</v>
      </c>
      <c r="D23" s="2" t="s">
        <v>27</v>
      </c>
      <c r="E23" s="2" t="s">
        <v>28</v>
      </c>
      <c r="F23" s="2" t="s">
        <v>29</v>
      </c>
      <c r="G23" s="2" t="s">
        <v>30</v>
      </c>
      <c r="H23" s="2" t="s">
        <v>31</v>
      </c>
      <c r="I23" s="2"/>
      <c r="J23" s="3">
        <v>23</v>
      </c>
      <c r="K23" s="2" t="s">
        <v>95</v>
      </c>
      <c r="L23" s="2" t="s">
        <v>53</v>
      </c>
      <c r="M23" s="2" t="s">
        <v>96</v>
      </c>
      <c r="N23" s="2" t="s">
        <v>35</v>
      </c>
      <c r="O23" s="2" t="s">
        <v>36</v>
      </c>
      <c r="P23" s="2" t="s">
        <v>97</v>
      </c>
      <c r="Q23" s="4">
        <v>5000</v>
      </c>
      <c r="R23" s="2" t="s">
        <v>38</v>
      </c>
      <c r="S23" s="4">
        <v>5000</v>
      </c>
      <c r="T23" s="2" t="s">
        <v>39</v>
      </c>
      <c r="U23" s="2" t="s">
        <v>40</v>
      </c>
      <c r="V23" s="2" t="s">
        <v>97</v>
      </c>
      <c r="W23" s="3">
        <v>0</v>
      </c>
      <c r="X23" s="3">
        <v>0</v>
      </c>
      <c r="Y23" s="2"/>
      <c r="Z23" s="3">
        <v>0</v>
      </c>
      <c r="AA23" s="2"/>
    </row>
    <row r="24" spans="1:27" ht="16.5" customHeight="1" x14ac:dyDescent="0.25">
      <c r="A24" s="2" t="s">
        <v>25</v>
      </c>
      <c r="B24" s="2" t="s">
        <v>26</v>
      </c>
      <c r="C24" s="2" t="s">
        <v>27</v>
      </c>
      <c r="D24" s="2" t="s">
        <v>27</v>
      </c>
      <c r="E24" s="2" t="s">
        <v>28</v>
      </c>
      <c r="F24" s="2" t="s">
        <v>29</v>
      </c>
      <c r="G24" s="2" t="s">
        <v>30</v>
      </c>
      <c r="H24" s="2" t="s">
        <v>31</v>
      </c>
      <c r="I24" s="2"/>
      <c r="J24" s="3">
        <v>24</v>
      </c>
      <c r="K24" s="2" t="s">
        <v>98</v>
      </c>
      <c r="L24" s="2" t="s">
        <v>99</v>
      </c>
      <c r="M24" s="2" t="s">
        <v>100</v>
      </c>
      <c r="N24" s="2" t="s">
        <v>35</v>
      </c>
      <c r="O24" s="2" t="s">
        <v>36</v>
      </c>
      <c r="P24" s="2" t="s">
        <v>37</v>
      </c>
      <c r="Q24" s="4">
        <v>2200</v>
      </c>
      <c r="R24" s="2" t="s">
        <v>38</v>
      </c>
      <c r="S24" s="4">
        <v>2200</v>
      </c>
      <c r="T24" s="2" t="s">
        <v>39</v>
      </c>
      <c r="U24" s="2" t="s">
        <v>40</v>
      </c>
      <c r="V24" s="2" t="s">
        <v>37</v>
      </c>
      <c r="W24" s="3">
        <v>0</v>
      </c>
      <c r="X24" s="3">
        <v>0</v>
      </c>
      <c r="Y24" s="2"/>
      <c r="Z24" s="3">
        <v>0</v>
      </c>
      <c r="AA24" s="2"/>
    </row>
    <row r="25" spans="1:27" ht="16.5" customHeight="1" x14ac:dyDescent="0.25">
      <c r="A25" s="2" t="s">
        <v>25</v>
      </c>
      <c r="B25" s="2" t="s">
        <v>26</v>
      </c>
      <c r="C25" s="2" t="s">
        <v>27</v>
      </c>
      <c r="D25" s="2" t="s">
        <v>27</v>
      </c>
      <c r="E25" s="2" t="s">
        <v>28</v>
      </c>
      <c r="F25" s="2" t="s">
        <v>29</v>
      </c>
      <c r="G25" s="2" t="s">
        <v>30</v>
      </c>
      <c r="H25" s="2" t="s">
        <v>31</v>
      </c>
      <c r="I25" s="2"/>
      <c r="J25" s="3">
        <v>25</v>
      </c>
      <c r="K25" s="2" t="s">
        <v>101</v>
      </c>
      <c r="L25" s="2" t="s">
        <v>102</v>
      </c>
      <c r="M25" s="2" t="s">
        <v>103</v>
      </c>
      <c r="N25" s="2" t="s">
        <v>35</v>
      </c>
      <c r="O25" s="2" t="s">
        <v>36</v>
      </c>
      <c r="P25" s="2" t="s">
        <v>58</v>
      </c>
      <c r="Q25" s="4">
        <v>3000</v>
      </c>
      <c r="R25" s="2" t="s">
        <v>38</v>
      </c>
      <c r="S25" s="4">
        <v>3000</v>
      </c>
      <c r="T25" s="2" t="s">
        <v>39</v>
      </c>
      <c r="U25" s="2" t="s">
        <v>40</v>
      </c>
      <c r="V25" s="2" t="s">
        <v>58</v>
      </c>
      <c r="W25" s="3">
        <v>0</v>
      </c>
      <c r="X25" s="3">
        <v>0</v>
      </c>
      <c r="Y25" s="2"/>
      <c r="Z25" s="3">
        <v>0</v>
      </c>
      <c r="AA25" s="2"/>
    </row>
    <row r="26" spans="1:27" ht="16.5" customHeight="1" x14ac:dyDescent="0.25">
      <c r="A26" s="2" t="s">
        <v>25</v>
      </c>
      <c r="B26" s="2" t="s">
        <v>26</v>
      </c>
      <c r="C26" s="2" t="s">
        <v>27</v>
      </c>
      <c r="D26" s="2" t="s">
        <v>27</v>
      </c>
      <c r="E26" s="2" t="s">
        <v>28</v>
      </c>
      <c r="F26" s="2" t="s">
        <v>29</v>
      </c>
      <c r="G26" s="2" t="s">
        <v>30</v>
      </c>
      <c r="H26" s="2" t="s">
        <v>31</v>
      </c>
      <c r="I26" s="2"/>
      <c r="J26" s="3">
        <v>26</v>
      </c>
      <c r="K26" s="2" t="s">
        <v>104</v>
      </c>
      <c r="L26" s="2" t="s">
        <v>105</v>
      </c>
      <c r="M26" s="2" t="s">
        <v>106</v>
      </c>
      <c r="N26" s="2" t="s">
        <v>35</v>
      </c>
      <c r="O26" s="2" t="s">
        <v>36</v>
      </c>
      <c r="P26" s="2" t="s">
        <v>44</v>
      </c>
      <c r="Q26" s="4">
        <v>3000</v>
      </c>
      <c r="R26" s="2" t="s">
        <v>38</v>
      </c>
      <c r="S26" s="4">
        <v>3000</v>
      </c>
      <c r="T26" s="2" t="s">
        <v>39</v>
      </c>
      <c r="U26" s="2" t="s">
        <v>40</v>
      </c>
      <c r="V26" s="2" t="s">
        <v>44</v>
      </c>
      <c r="W26" s="3">
        <v>0</v>
      </c>
      <c r="X26" s="3">
        <v>0</v>
      </c>
      <c r="Y26" s="2"/>
      <c r="Z26" s="3">
        <v>0</v>
      </c>
      <c r="AA26" s="2"/>
    </row>
    <row r="27" spans="1:27" ht="16.5" customHeight="1" x14ac:dyDescent="0.25">
      <c r="A27" s="2" t="s">
        <v>25</v>
      </c>
      <c r="B27" s="2" t="s">
        <v>26</v>
      </c>
      <c r="C27" s="2" t="s">
        <v>27</v>
      </c>
      <c r="D27" s="2" t="s">
        <v>27</v>
      </c>
      <c r="E27" s="2" t="s">
        <v>28</v>
      </c>
      <c r="F27" s="2" t="s">
        <v>29</v>
      </c>
      <c r="G27" s="2" t="s">
        <v>30</v>
      </c>
      <c r="H27" s="2" t="s">
        <v>31</v>
      </c>
      <c r="I27" s="2"/>
      <c r="J27" s="3">
        <v>27</v>
      </c>
      <c r="K27" s="2" t="s">
        <v>52</v>
      </c>
      <c r="L27" s="2" t="s">
        <v>53</v>
      </c>
      <c r="M27" s="2" t="s">
        <v>54</v>
      </c>
      <c r="N27" s="2" t="s">
        <v>35</v>
      </c>
      <c r="O27" s="2" t="s">
        <v>36</v>
      </c>
      <c r="P27" s="2" t="s">
        <v>58</v>
      </c>
      <c r="Q27" s="4">
        <v>10000</v>
      </c>
      <c r="R27" s="2" t="s">
        <v>38</v>
      </c>
      <c r="S27" s="4">
        <v>10000</v>
      </c>
      <c r="T27" s="2" t="s">
        <v>39</v>
      </c>
      <c r="U27" s="2" t="s">
        <v>40</v>
      </c>
      <c r="V27" s="2" t="s">
        <v>58</v>
      </c>
      <c r="W27" s="3">
        <v>0</v>
      </c>
      <c r="X27" s="3">
        <v>0</v>
      </c>
      <c r="Y27" s="2"/>
      <c r="Z27" s="3">
        <v>0</v>
      </c>
      <c r="AA27" s="2"/>
    </row>
    <row r="28" spans="1:27" ht="16.5" customHeight="1" x14ac:dyDescent="0.25">
      <c r="A28" s="2" t="s">
        <v>107</v>
      </c>
      <c r="B28" s="2" t="s">
        <v>26</v>
      </c>
      <c r="C28" s="2" t="s">
        <v>27</v>
      </c>
      <c r="D28" s="2" t="s">
        <v>27</v>
      </c>
      <c r="E28" s="2" t="s">
        <v>28</v>
      </c>
      <c r="F28" s="2" t="s">
        <v>29</v>
      </c>
      <c r="G28" s="2" t="s">
        <v>30</v>
      </c>
      <c r="H28" s="2" t="s">
        <v>31</v>
      </c>
      <c r="I28" s="2"/>
      <c r="J28" s="3">
        <v>1</v>
      </c>
      <c r="K28" s="2" t="s">
        <v>108</v>
      </c>
      <c r="L28" s="2" t="s">
        <v>53</v>
      </c>
      <c r="M28" s="2" t="s">
        <v>109</v>
      </c>
      <c r="N28" s="2" t="s">
        <v>35</v>
      </c>
      <c r="O28" s="2" t="s">
        <v>36</v>
      </c>
      <c r="P28" s="2" t="s">
        <v>58</v>
      </c>
      <c r="Q28" s="4">
        <v>5000</v>
      </c>
      <c r="R28" s="2" t="s">
        <v>38</v>
      </c>
      <c r="S28" s="4">
        <v>5000</v>
      </c>
      <c r="T28" s="2" t="s">
        <v>39</v>
      </c>
      <c r="U28" s="2" t="s">
        <v>40</v>
      </c>
      <c r="V28" s="2" t="s">
        <v>58</v>
      </c>
      <c r="W28" s="3">
        <v>0</v>
      </c>
      <c r="X28" s="3">
        <v>0</v>
      </c>
      <c r="Y28" s="2"/>
      <c r="Z28" s="3">
        <v>0</v>
      </c>
      <c r="AA28" s="2"/>
    </row>
    <row r="29" spans="1:27" ht="16.5" customHeight="1" x14ac:dyDescent="0.25">
      <c r="A29" s="2" t="s">
        <v>107</v>
      </c>
      <c r="B29" s="2" t="s">
        <v>26</v>
      </c>
      <c r="C29" s="2" t="s">
        <v>27</v>
      </c>
      <c r="D29" s="2" t="s">
        <v>27</v>
      </c>
      <c r="E29" s="2" t="s">
        <v>28</v>
      </c>
      <c r="F29" s="2" t="s">
        <v>29</v>
      </c>
      <c r="G29" s="2" t="s">
        <v>30</v>
      </c>
      <c r="H29" s="2" t="s">
        <v>31</v>
      </c>
      <c r="I29" s="2"/>
      <c r="J29" s="3">
        <v>2</v>
      </c>
      <c r="K29" s="2" t="s">
        <v>110</v>
      </c>
      <c r="L29" s="2" t="s">
        <v>53</v>
      </c>
      <c r="M29" s="2" t="s">
        <v>111</v>
      </c>
      <c r="N29" s="2" t="s">
        <v>35</v>
      </c>
      <c r="O29" s="2" t="s">
        <v>36</v>
      </c>
      <c r="P29" s="2" t="s">
        <v>44</v>
      </c>
      <c r="Q29" s="4">
        <v>5000</v>
      </c>
      <c r="R29" s="2" t="s">
        <v>38</v>
      </c>
      <c r="S29" s="4">
        <v>5000</v>
      </c>
      <c r="T29" s="2" t="s">
        <v>39</v>
      </c>
      <c r="U29" s="2" t="s">
        <v>40</v>
      </c>
      <c r="V29" s="2" t="s">
        <v>44</v>
      </c>
      <c r="W29" s="3">
        <v>0</v>
      </c>
      <c r="X29" s="3">
        <v>0</v>
      </c>
      <c r="Y29" s="2"/>
      <c r="Z29" s="3">
        <v>0</v>
      </c>
      <c r="AA29" s="2"/>
    </row>
    <row r="30" spans="1:27" ht="16.5" customHeight="1" x14ac:dyDescent="0.25">
      <c r="A30" s="2" t="s">
        <v>107</v>
      </c>
      <c r="B30" s="2" t="s">
        <v>26</v>
      </c>
      <c r="C30" s="2" t="s">
        <v>27</v>
      </c>
      <c r="D30" s="2" t="s">
        <v>27</v>
      </c>
      <c r="E30" s="2" t="s">
        <v>28</v>
      </c>
      <c r="F30" s="2" t="s">
        <v>29</v>
      </c>
      <c r="G30" s="2" t="s">
        <v>30</v>
      </c>
      <c r="H30" s="2" t="s">
        <v>31</v>
      </c>
      <c r="I30" s="2"/>
      <c r="J30" s="3">
        <v>3</v>
      </c>
      <c r="K30" s="2" t="s">
        <v>112</v>
      </c>
      <c r="L30" s="2" t="s">
        <v>53</v>
      </c>
      <c r="M30" s="2" t="s">
        <v>113</v>
      </c>
      <c r="N30" s="2" t="s">
        <v>35</v>
      </c>
      <c r="O30" s="2" t="s">
        <v>36</v>
      </c>
      <c r="P30" s="2" t="s">
        <v>58</v>
      </c>
      <c r="Q30" s="4">
        <v>5000</v>
      </c>
      <c r="R30" s="2" t="s">
        <v>38</v>
      </c>
      <c r="S30" s="4">
        <v>5000</v>
      </c>
      <c r="T30" s="2" t="s">
        <v>39</v>
      </c>
      <c r="U30" s="2" t="s">
        <v>40</v>
      </c>
      <c r="V30" s="2" t="s">
        <v>58</v>
      </c>
      <c r="W30" s="3">
        <v>0</v>
      </c>
      <c r="X30" s="3">
        <v>0</v>
      </c>
      <c r="Y30" s="2"/>
      <c r="Z30" s="3">
        <v>0</v>
      </c>
      <c r="AA30" s="2"/>
    </row>
    <row r="31" spans="1:27" ht="16.5" customHeight="1" x14ac:dyDescent="0.25">
      <c r="A31" s="2" t="s">
        <v>107</v>
      </c>
      <c r="B31" s="2" t="s">
        <v>26</v>
      </c>
      <c r="C31" s="2" t="s">
        <v>27</v>
      </c>
      <c r="D31" s="2" t="s">
        <v>27</v>
      </c>
      <c r="E31" s="2" t="s">
        <v>28</v>
      </c>
      <c r="F31" s="2" t="s">
        <v>29</v>
      </c>
      <c r="G31" s="2" t="s">
        <v>30</v>
      </c>
      <c r="H31" s="2" t="s">
        <v>31</v>
      </c>
      <c r="I31" s="2"/>
      <c r="J31" s="3">
        <v>4</v>
      </c>
      <c r="K31" s="2" t="s">
        <v>114</v>
      </c>
      <c r="L31" s="2" t="s">
        <v>53</v>
      </c>
      <c r="M31" s="2" t="s">
        <v>115</v>
      </c>
      <c r="N31" s="2" t="s">
        <v>35</v>
      </c>
      <c r="O31" s="2" t="s">
        <v>36</v>
      </c>
      <c r="P31" s="2" t="s">
        <v>44</v>
      </c>
      <c r="Q31" s="4">
        <v>5000</v>
      </c>
      <c r="R31" s="2" t="s">
        <v>38</v>
      </c>
      <c r="S31" s="4">
        <v>5000</v>
      </c>
      <c r="T31" s="2" t="s">
        <v>39</v>
      </c>
      <c r="U31" s="2" t="s">
        <v>40</v>
      </c>
      <c r="V31" s="2" t="s">
        <v>44</v>
      </c>
      <c r="W31" s="3">
        <v>0</v>
      </c>
      <c r="X31" s="3">
        <v>0</v>
      </c>
      <c r="Y31" s="2"/>
      <c r="Z31" s="3">
        <v>0</v>
      </c>
      <c r="AA31" s="2"/>
    </row>
    <row r="32" spans="1:27" ht="16.5" customHeight="1" x14ac:dyDescent="0.25">
      <c r="A32" s="2" t="s">
        <v>107</v>
      </c>
      <c r="B32" s="2" t="s">
        <v>26</v>
      </c>
      <c r="C32" s="2" t="s">
        <v>27</v>
      </c>
      <c r="D32" s="2" t="s">
        <v>27</v>
      </c>
      <c r="E32" s="2" t="s">
        <v>28</v>
      </c>
      <c r="F32" s="2" t="s">
        <v>29</v>
      </c>
      <c r="G32" s="2" t="s">
        <v>30</v>
      </c>
      <c r="H32" s="2" t="s">
        <v>31</v>
      </c>
      <c r="I32" s="2"/>
      <c r="J32" s="3">
        <v>5</v>
      </c>
      <c r="K32" s="2" t="s">
        <v>116</v>
      </c>
      <c r="L32" s="2" t="s">
        <v>117</v>
      </c>
      <c r="M32" s="2" t="s">
        <v>118</v>
      </c>
      <c r="N32" s="2" t="s">
        <v>35</v>
      </c>
      <c r="O32" s="2" t="s">
        <v>36</v>
      </c>
      <c r="P32" s="2" t="s">
        <v>37</v>
      </c>
      <c r="Q32" s="4">
        <v>18000</v>
      </c>
      <c r="R32" s="2" t="s">
        <v>38</v>
      </c>
      <c r="S32" s="4">
        <v>18000</v>
      </c>
      <c r="T32" s="2" t="s">
        <v>39</v>
      </c>
      <c r="U32" s="2" t="s">
        <v>40</v>
      </c>
      <c r="V32" s="2" t="s">
        <v>37</v>
      </c>
      <c r="W32" s="3">
        <v>0</v>
      </c>
      <c r="X32" s="3">
        <v>0</v>
      </c>
      <c r="Y32" s="2"/>
      <c r="Z32" s="3">
        <v>0</v>
      </c>
      <c r="AA32" s="2"/>
    </row>
    <row r="33" spans="1:27" ht="16.5" customHeight="1" x14ac:dyDescent="0.25">
      <c r="A33" s="2" t="s">
        <v>107</v>
      </c>
      <c r="B33" s="2" t="s">
        <v>26</v>
      </c>
      <c r="C33" s="2" t="s">
        <v>27</v>
      </c>
      <c r="D33" s="2" t="s">
        <v>27</v>
      </c>
      <c r="E33" s="2" t="s">
        <v>28</v>
      </c>
      <c r="F33" s="2" t="s">
        <v>29</v>
      </c>
      <c r="G33" s="2" t="s">
        <v>30</v>
      </c>
      <c r="H33" s="2" t="s">
        <v>31</v>
      </c>
      <c r="I33" s="2"/>
      <c r="J33" s="3">
        <v>6</v>
      </c>
      <c r="K33" s="2" t="s">
        <v>119</v>
      </c>
      <c r="L33" s="2" t="s">
        <v>53</v>
      </c>
      <c r="M33" s="2" t="s">
        <v>120</v>
      </c>
      <c r="N33" s="2" t="s">
        <v>35</v>
      </c>
      <c r="O33" s="2" t="s">
        <v>36</v>
      </c>
      <c r="P33" s="2" t="s">
        <v>58</v>
      </c>
      <c r="Q33" s="4">
        <v>40000</v>
      </c>
      <c r="R33" s="2" t="s">
        <v>38</v>
      </c>
      <c r="S33" s="4">
        <v>40000</v>
      </c>
      <c r="T33" s="2" t="s">
        <v>39</v>
      </c>
      <c r="U33" s="2" t="s">
        <v>40</v>
      </c>
      <c r="V33" s="2" t="s">
        <v>58</v>
      </c>
      <c r="W33" s="3">
        <v>0</v>
      </c>
      <c r="X33" s="3">
        <v>0</v>
      </c>
      <c r="Y33" s="2"/>
      <c r="Z33" s="3">
        <v>0</v>
      </c>
      <c r="AA33" s="2"/>
    </row>
    <row r="34" spans="1:27" ht="16.5" customHeight="1" x14ac:dyDescent="0.25">
      <c r="A34" s="2" t="s">
        <v>107</v>
      </c>
      <c r="B34" s="2" t="s">
        <v>26</v>
      </c>
      <c r="C34" s="2" t="s">
        <v>27</v>
      </c>
      <c r="D34" s="2" t="s">
        <v>27</v>
      </c>
      <c r="E34" s="2" t="s">
        <v>28</v>
      </c>
      <c r="F34" s="2" t="s">
        <v>29</v>
      </c>
      <c r="G34" s="2" t="s">
        <v>30</v>
      </c>
      <c r="H34" s="2" t="s">
        <v>31</v>
      </c>
      <c r="I34" s="2"/>
      <c r="J34" s="3">
        <v>7</v>
      </c>
      <c r="K34" s="2" t="s">
        <v>121</v>
      </c>
      <c r="L34" s="2" t="s">
        <v>53</v>
      </c>
      <c r="M34" s="2" t="s">
        <v>122</v>
      </c>
      <c r="N34" s="2" t="s">
        <v>35</v>
      </c>
      <c r="O34" s="2" t="s">
        <v>36</v>
      </c>
      <c r="P34" s="2" t="s">
        <v>44</v>
      </c>
      <c r="Q34" s="4">
        <v>10000</v>
      </c>
      <c r="R34" s="2" t="s">
        <v>38</v>
      </c>
      <c r="S34" s="4">
        <v>10000</v>
      </c>
      <c r="T34" s="2" t="s">
        <v>39</v>
      </c>
      <c r="U34" s="2" t="s">
        <v>40</v>
      </c>
      <c r="V34" s="2" t="s">
        <v>44</v>
      </c>
      <c r="W34" s="3">
        <v>0</v>
      </c>
      <c r="X34" s="3">
        <v>0</v>
      </c>
      <c r="Y34" s="2"/>
      <c r="Z34" s="3">
        <v>0</v>
      </c>
      <c r="AA34" s="2"/>
    </row>
    <row r="35" spans="1:27" ht="16.5" customHeight="1" x14ac:dyDescent="0.25">
      <c r="A35" s="2" t="s">
        <v>107</v>
      </c>
      <c r="B35" s="2" t="s">
        <v>26</v>
      </c>
      <c r="C35" s="2" t="s">
        <v>27</v>
      </c>
      <c r="D35" s="2" t="s">
        <v>27</v>
      </c>
      <c r="E35" s="2" t="s">
        <v>28</v>
      </c>
      <c r="F35" s="2" t="s">
        <v>29</v>
      </c>
      <c r="G35" s="2" t="s">
        <v>30</v>
      </c>
      <c r="H35" s="2" t="s">
        <v>31</v>
      </c>
      <c r="I35" s="2"/>
      <c r="J35" s="3">
        <v>8</v>
      </c>
      <c r="K35" s="2" t="s">
        <v>123</v>
      </c>
      <c r="L35" s="2" t="s">
        <v>53</v>
      </c>
      <c r="M35" s="2" t="s">
        <v>124</v>
      </c>
      <c r="N35" s="2" t="s">
        <v>35</v>
      </c>
      <c r="O35" s="2" t="s">
        <v>36</v>
      </c>
      <c r="P35" s="2" t="s">
        <v>58</v>
      </c>
      <c r="Q35" s="4">
        <v>10000</v>
      </c>
      <c r="R35" s="2" t="s">
        <v>38</v>
      </c>
      <c r="S35" s="4">
        <v>10000</v>
      </c>
      <c r="T35" s="2" t="s">
        <v>39</v>
      </c>
      <c r="U35" s="2" t="s">
        <v>40</v>
      </c>
      <c r="V35" s="2" t="s">
        <v>58</v>
      </c>
      <c r="W35" s="3">
        <v>0</v>
      </c>
      <c r="X35" s="3">
        <v>0</v>
      </c>
      <c r="Y35" s="2"/>
      <c r="Z35" s="3">
        <v>0</v>
      </c>
      <c r="AA35" s="2"/>
    </row>
    <row r="36" spans="1:27" ht="16.5" customHeight="1" x14ac:dyDescent="0.25">
      <c r="A36" s="2" t="s">
        <v>107</v>
      </c>
      <c r="B36" s="2" t="s">
        <v>26</v>
      </c>
      <c r="C36" s="2" t="s">
        <v>27</v>
      </c>
      <c r="D36" s="2" t="s">
        <v>27</v>
      </c>
      <c r="E36" s="2" t="s">
        <v>28</v>
      </c>
      <c r="F36" s="2" t="s">
        <v>29</v>
      </c>
      <c r="G36" s="2" t="s">
        <v>30</v>
      </c>
      <c r="H36" s="2" t="s">
        <v>31</v>
      </c>
      <c r="I36" s="2"/>
      <c r="J36" s="3">
        <v>9</v>
      </c>
      <c r="K36" s="2" t="s">
        <v>125</v>
      </c>
      <c r="L36" s="2" t="s">
        <v>53</v>
      </c>
      <c r="M36" s="2" t="s">
        <v>126</v>
      </c>
      <c r="N36" s="2" t="s">
        <v>35</v>
      </c>
      <c r="O36" s="2" t="s">
        <v>36</v>
      </c>
      <c r="P36" s="2" t="s">
        <v>97</v>
      </c>
      <c r="Q36" s="4">
        <v>5000</v>
      </c>
      <c r="R36" s="2" t="s">
        <v>38</v>
      </c>
      <c r="S36" s="4">
        <v>5000</v>
      </c>
      <c r="T36" s="2" t="s">
        <v>39</v>
      </c>
      <c r="U36" s="2" t="s">
        <v>40</v>
      </c>
      <c r="V36" s="2" t="s">
        <v>97</v>
      </c>
      <c r="W36" s="3">
        <v>0</v>
      </c>
      <c r="X36" s="3">
        <v>0</v>
      </c>
      <c r="Y36" s="2"/>
      <c r="Z36" s="3">
        <v>0</v>
      </c>
      <c r="AA36" s="2"/>
    </row>
    <row r="37" spans="1:27" ht="16.5" customHeight="1" x14ac:dyDescent="0.25">
      <c r="A37" s="2" t="s">
        <v>107</v>
      </c>
      <c r="B37" s="2" t="s">
        <v>26</v>
      </c>
      <c r="C37" s="2" t="s">
        <v>27</v>
      </c>
      <c r="D37" s="2" t="s">
        <v>27</v>
      </c>
      <c r="E37" s="2" t="s">
        <v>28</v>
      </c>
      <c r="F37" s="2" t="s">
        <v>29</v>
      </c>
      <c r="G37" s="2" t="s">
        <v>30</v>
      </c>
      <c r="H37" s="2" t="s">
        <v>31</v>
      </c>
      <c r="I37" s="2"/>
      <c r="J37" s="3">
        <v>10</v>
      </c>
      <c r="K37" s="2" t="s">
        <v>127</v>
      </c>
      <c r="L37" s="2" t="s">
        <v>53</v>
      </c>
      <c r="M37" s="2" t="s">
        <v>128</v>
      </c>
      <c r="N37" s="2" t="s">
        <v>35</v>
      </c>
      <c r="O37" s="2" t="s">
        <v>36</v>
      </c>
      <c r="P37" s="2" t="s">
        <v>58</v>
      </c>
      <c r="Q37" s="4">
        <v>5000</v>
      </c>
      <c r="R37" s="2" t="s">
        <v>38</v>
      </c>
      <c r="S37" s="4">
        <v>5000</v>
      </c>
      <c r="T37" s="2" t="s">
        <v>39</v>
      </c>
      <c r="U37" s="2" t="s">
        <v>40</v>
      </c>
      <c r="V37" s="2" t="s">
        <v>58</v>
      </c>
      <c r="W37" s="3">
        <v>0</v>
      </c>
      <c r="X37" s="3">
        <v>0</v>
      </c>
      <c r="Y37" s="2"/>
      <c r="Z37" s="3">
        <v>0</v>
      </c>
      <c r="AA37" s="2"/>
    </row>
    <row r="38" spans="1:27" ht="16.5" customHeight="1" x14ac:dyDescent="0.25">
      <c r="A38" s="2" t="s">
        <v>107</v>
      </c>
      <c r="B38" s="2" t="s">
        <v>26</v>
      </c>
      <c r="C38" s="2" t="s">
        <v>27</v>
      </c>
      <c r="D38" s="2" t="s">
        <v>27</v>
      </c>
      <c r="E38" s="2" t="s">
        <v>28</v>
      </c>
      <c r="F38" s="2" t="s">
        <v>29</v>
      </c>
      <c r="G38" s="2" t="s">
        <v>30</v>
      </c>
      <c r="H38" s="2" t="s">
        <v>31</v>
      </c>
      <c r="I38" s="2"/>
      <c r="J38" s="3">
        <v>11</v>
      </c>
      <c r="K38" s="2" t="s">
        <v>129</v>
      </c>
      <c r="L38" s="2" t="s">
        <v>53</v>
      </c>
      <c r="M38" s="2" t="s">
        <v>130</v>
      </c>
      <c r="N38" s="2" t="s">
        <v>35</v>
      </c>
      <c r="O38" s="2" t="s">
        <v>36</v>
      </c>
      <c r="P38" s="2" t="s">
        <v>58</v>
      </c>
      <c r="Q38" s="4">
        <v>30000</v>
      </c>
      <c r="R38" s="2" t="s">
        <v>38</v>
      </c>
      <c r="S38" s="4">
        <v>30000</v>
      </c>
      <c r="T38" s="2" t="s">
        <v>39</v>
      </c>
      <c r="U38" s="2" t="s">
        <v>40</v>
      </c>
      <c r="V38" s="2" t="s">
        <v>58</v>
      </c>
      <c r="W38" s="3">
        <v>0</v>
      </c>
      <c r="X38" s="3">
        <v>0</v>
      </c>
      <c r="Y38" s="2"/>
      <c r="Z38" s="3">
        <v>0</v>
      </c>
      <c r="AA38" s="2"/>
    </row>
    <row r="39" spans="1:27" ht="16.5" customHeight="1" x14ac:dyDescent="0.25">
      <c r="A39" s="2" t="s">
        <v>107</v>
      </c>
      <c r="B39" s="2" t="s">
        <v>26</v>
      </c>
      <c r="C39" s="2" t="s">
        <v>27</v>
      </c>
      <c r="D39" s="2" t="s">
        <v>27</v>
      </c>
      <c r="E39" s="2" t="s">
        <v>28</v>
      </c>
      <c r="F39" s="2" t="s">
        <v>29</v>
      </c>
      <c r="G39" s="2" t="s">
        <v>30</v>
      </c>
      <c r="H39" s="2" t="s">
        <v>31</v>
      </c>
      <c r="I39" s="2"/>
      <c r="J39" s="3">
        <v>12</v>
      </c>
      <c r="K39" s="2" t="s">
        <v>131</v>
      </c>
      <c r="L39" s="2" t="s">
        <v>53</v>
      </c>
      <c r="M39" s="2" t="s">
        <v>132</v>
      </c>
      <c r="N39" s="2" t="s">
        <v>35</v>
      </c>
      <c r="O39" s="2" t="s">
        <v>36</v>
      </c>
      <c r="P39" s="2" t="s">
        <v>44</v>
      </c>
      <c r="Q39" s="4">
        <v>5000</v>
      </c>
      <c r="R39" s="2" t="s">
        <v>38</v>
      </c>
      <c r="S39" s="4">
        <v>5000</v>
      </c>
      <c r="T39" s="2" t="s">
        <v>39</v>
      </c>
      <c r="U39" s="2" t="s">
        <v>40</v>
      </c>
      <c r="V39" s="2" t="s">
        <v>44</v>
      </c>
      <c r="W39" s="3">
        <v>0</v>
      </c>
      <c r="X39" s="3">
        <v>0</v>
      </c>
      <c r="Y39" s="2"/>
      <c r="Z39" s="3">
        <v>0</v>
      </c>
      <c r="AA39" s="2"/>
    </row>
    <row r="40" spans="1:27" ht="16.5" customHeight="1" x14ac:dyDescent="0.25">
      <c r="A40" s="2" t="s">
        <v>107</v>
      </c>
      <c r="B40" s="2" t="s">
        <v>26</v>
      </c>
      <c r="C40" s="2" t="s">
        <v>27</v>
      </c>
      <c r="D40" s="2" t="s">
        <v>27</v>
      </c>
      <c r="E40" s="2" t="s">
        <v>28</v>
      </c>
      <c r="F40" s="2" t="s">
        <v>29</v>
      </c>
      <c r="G40" s="2" t="s">
        <v>30</v>
      </c>
      <c r="H40" s="2" t="s">
        <v>31</v>
      </c>
      <c r="I40" s="2"/>
      <c r="J40" s="3">
        <v>13</v>
      </c>
      <c r="K40" s="2" t="s">
        <v>133</v>
      </c>
      <c r="L40" s="2" t="s">
        <v>33</v>
      </c>
      <c r="M40" s="2" t="s">
        <v>134</v>
      </c>
      <c r="N40" s="2" t="s">
        <v>35</v>
      </c>
      <c r="O40" s="2" t="s">
        <v>36</v>
      </c>
      <c r="P40" s="2" t="s">
        <v>44</v>
      </c>
      <c r="Q40" s="4">
        <v>2000</v>
      </c>
      <c r="R40" s="2" t="s">
        <v>38</v>
      </c>
      <c r="S40" s="4">
        <v>2000</v>
      </c>
      <c r="T40" s="2" t="s">
        <v>39</v>
      </c>
      <c r="U40" s="2" t="s">
        <v>40</v>
      </c>
      <c r="V40" s="2" t="s">
        <v>44</v>
      </c>
      <c r="W40" s="3">
        <v>0</v>
      </c>
      <c r="X40" s="3">
        <v>0</v>
      </c>
      <c r="Y40" s="2"/>
      <c r="Z40" s="3">
        <v>0</v>
      </c>
      <c r="AA40" s="2"/>
    </row>
    <row r="41" spans="1:27" ht="16.5" customHeight="1" x14ac:dyDescent="0.25">
      <c r="A41" s="2" t="s">
        <v>107</v>
      </c>
      <c r="B41" s="2" t="s">
        <v>26</v>
      </c>
      <c r="C41" s="2" t="s">
        <v>27</v>
      </c>
      <c r="D41" s="2" t="s">
        <v>27</v>
      </c>
      <c r="E41" s="2" t="s">
        <v>28</v>
      </c>
      <c r="F41" s="2" t="s">
        <v>29</v>
      </c>
      <c r="G41" s="2" t="s">
        <v>30</v>
      </c>
      <c r="H41" s="2" t="s">
        <v>31</v>
      </c>
      <c r="I41" s="2"/>
      <c r="J41" s="3">
        <v>14</v>
      </c>
      <c r="K41" s="2" t="s">
        <v>135</v>
      </c>
      <c r="L41" s="2" t="s">
        <v>136</v>
      </c>
      <c r="M41" s="2" t="s">
        <v>137</v>
      </c>
      <c r="N41" s="2" t="s">
        <v>35</v>
      </c>
      <c r="O41" s="2" t="s">
        <v>36</v>
      </c>
      <c r="P41" s="2" t="s">
        <v>58</v>
      </c>
      <c r="Q41" s="4">
        <v>60000</v>
      </c>
      <c r="R41" s="2" t="s">
        <v>38</v>
      </c>
      <c r="S41" s="4">
        <v>60000</v>
      </c>
      <c r="T41" s="2" t="s">
        <v>39</v>
      </c>
      <c r="U41" s="2" t="s">
        <v>40</v>
      </c>
      <c r="V41" s="2" t="s">
        <v>58</v>
      </c>
      <c r="W41" s="3">
        <v>0</v>
      </c>
      <c r="X41" s="3">
        <v>0</v>
      </c>
      <c r="Y41" s="2"/>
      <c r="Z41" s="3">
        <v>0</v>
      </c>
      <c r="AA41" s="2"/>
    </row>
    <row r="42" spans="1:27" ht="16.5" customHeight="1" x14ac:dyDescent="0.25">
      <c r="A42" s="2" t="s">
        <v>107</v>
      </c>
      <c r="B42" s="2" t="s">
        <v>26</v>
      </c>
      <c r="C42" s="2" t="s">
        <v>27</v>
      </c>
      <c r="D42" s="2" t="s">
        <v>27</v>
      </c>
      <c r="E42" s="2" t="s">
        <v>28</v>
      </c>
      <c r="F42" s="2" t="s">
        <v>29</v>
      </c>
      <c r="G42" s="2" t="s">
        <v>30</v>
      </c>
      <c r="H42" s="2" t="s">
        <v>31</v>
      </c>
      <c r="I42" s="2"/>
      <c r="J42" s="3">
        <v>15</v>
      </c>
      <c r="K42" s="2" t="s">
        <v>138</v>
      </c>
      <c r="L42" s="2" t="s">
        <v>53</v>
      </c>
      <c r="M42" s="2" t="s">
        <v>139</v>
      </c>
      <c r="N42" s="2" t="s">
        <v>35</v>
      </c>
      <c r="O42" s="2" t="s">
        <v>36</v>
      </c>
      <c r="P42" s="2" t="s">
        <v>44</v>
      </c>
      <c r="Q42" s="4">
        <v>5000</v>
      </c>
      <c r="R42" s="2" t="s">
        <v>38</v>
      </c>
      <c r="S42" s="4">
        <v>5000</v>
      </c>
      <c r="T42" s="2" t="s">
        <v>39</v>
      </c>
      <c r="U42" s="2" t="s">
        <v>40</v>
      </c>
      <c r="V42" s="2" t="s">
        <v>44</v>
      </c>
      <c r="W42" s="3">
        <v>0</v>
      </c>
      <c r="X42" s="3">
        <v>0</v>
      </c>
      <c r="Y42" s="2"/>
      <c r="Z42" s="3">
        <v>0</v>
      </c>
      <c r="AA42" s="2"/>
    </row>
    <row r="43" spans="1:27" ht="16.5" customHeight="1" x14ac:dyDescent="0.25">
      <c r="A43" s="2" t="s">
        <v>107</v>
      </c>
      <c r="B43" s="2" t="s">
        <v>26</v>
      </c>
      <c r="C43" s="2" t="s">
        <v>27</v>
      </c>
      <c r="D43" s="2" t="s">
        <v>27</v>
      </c>
      <c r="E43" s="2" t="s">
        <v>28</v>
      </c>
      <c r="F43" s="2" t="s">
        <v>29</v>
      </c>
      <c r="G43" s="2" t="s">
        <v>30</v>
      </c>
      <c r="H43" s="2" t="s">
        <v>31</v>
      </c>
      <c r="I43" s="2"/>
      <c r="J43" s="3">
        <v>16</v>
      </c>
      <c r="K43" s="2" t="s">
        <v>140</v>
      </c>
      <c r="L43" s="2" t="s">
        <v>53</v>
      </c>
      <c r="M43" s="2" t="s">
        <v>141</v>
      </c>
      <c r="N43" s="2" t="s">
        <v>35</v>
      </c>
      <c r="O43" s="2" t="s">
        <v>36</v>
      </c>
      <c r="P43" s="2" t="s">
        <v>44</v>
      </c>
      <c r="Q43" s="4">
        <v>10000</v>
      </c>
      <c r="R43" s="2" t="s">
        <v>38</v>
      </c>
      <c r="S43" s="4">
        <v>10000</v>
      </c>
      <c r="T43" s="2" t="s">
        <v>39</v>
      </c>
      <c r="U43" s="2" t="s">
        <v>40</v>
      </c>
      <c r="V43" s="2" t="s">
        <v>44</v>
      </c>
      <c r="W43" s="3">
        <v>0</v>
      </c>
      <c r="X43" s="3">
        <v>0</v>
      </c>
      <c r="Y43" s="2"/>
      <c r="Z43" s="3">
        <v>0</v>
      </c>
      <c r="AA43" s="2"/>
    </row>
    <row r="44" spans="1:27" ht="16.5" customHeight="1" x14ac:dyDescent="0.25">
      <c r="A44" s="2" t="s">
        <v>107</v>
      </c>
      <c r="B44" s="2" t="s">
        <v>26</v>
      </c>
      <c r="C44" s="2" t="s">
        <v>27</v>
      </c>
      <c r="D44" s="2" t="s">
        <v>27</v>
      </c>
      <c r="E44" s="2" t="s">
        <v>28</v>
      </c>
      <c r="F44" s="2" t="s">
        <v>29</v>
      </c>
      <c r="G44" s="2" t="s">
        <v>30</v>
      </c>
      <c r="H44" s="2" t="s">
        <v>31</v>
      </c>
      <c r="I44" s="2"/>
      <c r="J44" s="3">
        <v>17</v>
      </c>
      <c r="K44" s="2" t="s">
        <v>142</v>
      </c>
      <c r="L44" s="2" t="s">
        <v>33</v>
      </c>
      <c r="M44" s="2" t="s">
        <v>143</v>
      </c>
      <c r="N44" s="2" t="s">
        <v>35</v>
      </c>
      <c r="O44" s="2" t="s">
        <v>36</v>
      </c>
      <c r="P44" s="2" t="s">
        <v>44</v>
      </c>
      <c r="Q44" s="4">
        <v>9000</v>
      </c>
      <c r="R44" s="2" t="s">
        <v>38</v>
      </c>
      <c r="S44" s="4">
        <v>9000</v>
      </c>
      <c r="T44" s="2" t="s">
        <v>39</v>
      </c>
      <c r="U44" s="2" t="s">
        <v>40</v>
      </c>
      <c r="V44" s="2" t="s">
        <v>44</v>
      </c>
      <c r="W44" s="3">
        <v>0</v>
      </c>
      <c r="X44" s="3">
        <v>0</v>
      </c>
      <c r="Y44" s="2"/>
      <c r="Z44" s="3">
        <v>0</v>
      </c>
      <c r="AA44" s="2"/>
    </row>
    <row r="45" spans="1:27" ht="16.5" customHeight="1" x14ac:dyDescent="0.25">
      <c r="A45" s="2" t="s">
        <v>107</v>
      </c>
      <c r="B45" s="2" t="s">
        <v>26</v>
      </c>
      <c r="C45" s="2" t="s">
        <v>27</v>
      </c>
      <c r="D45" s="2" t="s">
        <v>27</v>
      </c>
      <c r="E45" s="2" t="s">
        <v>28</v>
      </c>
      <c r="F45" s="2" t="s">
        <v>29</v>
      </c>
      <c r="G45" s="2" t="s">
        <v>30</v>
      </c>
      <c r="H45" s="2" t="s">
        <v>31</v>
      </c>
      <c r="I45" s="2"/>
      <c r="J45" s="3">
        <v>18</v>
      </c>
      <c r="K45" s="2" t="s">
        <v>144</v>
      </c>
      <c r="L45" s="2" t="s">
        <v>53</v>
      </c>
      <c r="M45" s="2" t="s">
        <v>145</v>
      </c>
      <c r="N45" s="2" t="s">
        <v>35</v>
      </c>
      <c r="O45" s="2" t="s">
        <v>36</v>
      </c>
      <c r="P45" s="2" t="s">
        <v>58</v>
      </c>
      <c r="Q45" s="4">
        <v>10000</v>
      </c>
      <c r="R45" s="2" t="s">
        <v>38</v>
      </c>
      <c r="S45" s="4">
        <v>10000</v>
      </c>
      <c r="T45" s="2" t="s">
        <v>39</v>
      </c>
      <c r="U45" s="2" t="s">
        <v>40</v>
      </c>
      <c r="V45" s="2" t="s">
        <v>58</v>
      </c>
      <c r="W45" s="3">
        <v>0</v>
      </c>
      <c r="X45" s="3">
        <v>0</v>
      </c>
      <c r="Y45" s="2"/>
      <c r="Z45" s="3">
        <v>0</v>
      </c>
      <c r="AA45" s="2"/>
    </row>
    <row r="46" spans="1:27" ht="16.5" customHeight="1" x14ac:dyDescent="0.25">
      <c r="A46" s="2" t="s">
        <v>107</v>
      </c>
      <c r="B46" s="2" t="s">
        <v>26</v>
      </c>
      <c r="C46" s="2" t="s">
        <v>27</v>
      </c>
      <c r="D46" s="2" t="s">
        <v>27</v>
      </c>
      <c r="E46" s="2" t="s">
        <v>28</v>
      </c>
      <c r="F46" s="2" t="s">
        <v>29</v>
      </c>
      <c r="G46" s="2" t="s">
        <v>30</v>
      </c>
      <c r="H46" s="2" t="s">
        <v>31</v>
      </c>
      <c r="I46" s="2"/>
      <c r="J46" s="3">
        <v>19</v>
      </c>
      <c r="K46" s="2" t="s">
        <v>146</v>
      </c>
      <c r="L46" s="2" t="s">
        <v>53</v>
      </c>
      <c r="M46" s="2" t="s">
        <v>147</v>
      </c>
      <c r="N46" s="2" t="s">
        <v>35</v>
      </c>
      <c r="O46" s="2" t="s">
        <v>36</v>
      </c>
      <c r="P46" s="2" t="s">
        <v>58</v>
      </c>
      <c r="Q46" s="4">
        <v>10000</v>
      </c>
      <c r="R46" s="2" t="s">
        <v>38</v>
      </c>
      <c r="S46" s="4">
        <v>10000</v>
      </c>
      <c r="T46" s="2" t="s">
        <v>39</v>
      </c>
      <c r="U46" s="2" t="s">
        <v>40</v>
      </c>
      <c r="V46" s="2" t="s">
        <v>58</v>
      </c>
      <c r="W46" s="3">
        <v>0</v>
      </c>
      <c r="X46" s="3">
        <v>0</v>
      </c>
      <c r="Y46" s="2"/>
      <c r="Z46" s="3">
        <v>0</v>
      </c>
      <c r="AA46" s="2"/>
    </row>
    <row r="47" spans="1:27" ht="16.5" customHeight="1" x14ac:dyDescent="0.25">
      <c r="A47" s="2" t="s">
        <v>107</v>
      </c>
      <c r="B47" s="2" t="s">
        <v>26</v>
      </c>
      <c r="C47" s="2" t="s">
        <v>27</v>
      </c>
      <c r="D47" s="2" t="s">
        <v>27</v>
      </c>
      <c r="E47" s="2" t="s">
        <v>28</v>
      </c>
      <c r="F47" s="2" t="s">
        <v>29</v>
      </c>
      <c r="G47" s="2" t="s">
        <v>30</v>
      </c>
      <c r="H47" s="2" t="s">
        <v>31</v>
      </c>
      <c r="I47" s="2"/>
      <c r="J47" s="3">
        <v>20</v>
      </c>
      <c r="K47" s="2" t="s">
        <v>148</v>
      </c>
      <c r="L47" s="2" t="s">
        <v>53</v>
      </c>
      <c r="M47" s="2" t="s">
        <v>149</v>
      </c>
      <c r="N47" s="2" t="s">
        <v>35</v>
      </c>
      <c r="O47" s="2" t="s">
        <v>36</v>
      </c>
      <c r="P47" s="2" t="s">
        <v>44</v>
      </c>
      <c r="Q47" s="4">
        <v>10000</v>
      </c>
      <c r="R47" s="2" t="s">
        <v>38</v>
      </c>
      <c r="S47" s="4">
        <v>10000</v>
      </c>
      <c r="T47" s="2" t="s">
        <v>39</v>
      </c>
      <c r="U47" s="2" t="s">
        <v>40</v>
      </c>
      <c r="V47" s="2" t="s">
        <v>44</v>
      </c>
      <c r="W47" s="3">
        <v>0</v>
      </c>
      <c r="X47" s="3">
        <v>0</v>
      </c>
      <c r="Y47" s="2"/>
      <c r="Z47" s="3">
        <v>0</v>
      </c>
      <c r="AA47" s="2"/>
    </row>
    <row r="48" spans="1:27" ht="16.5" customHeight="1" x14ac:dyDescent="0.25">
      <c r="A48" s="2" t="s">
        <v>107</v>
      </c>
      <c r="B48" s="2" t="s">
        <v>26</v>
      </c>
      <c r="C48" s="2" t="s">
        <v>27</v>
      </c>
      <c r="D48" s="2" t="s">
        <v>27</v>
      </c>
      <c r="E48" s="2" t="s">
        <v>28</v>
      </c>
      <c r="F48" s="2" t="s">
        <v>29</v>
      </c>
      <c r="G48" s="2" t="s">
        <v>30</v>
      </c>
      <c r="H48" s="2" t="s">
        <v>31</v>
      </c>
      <c r="I48" s="2"/>
      <c r="J48" s="3">
        <v>21</v>
      </c>
      <c r="K48" s="2" t="s">
        <v>108</v>
      </c>
      <c r="L48" s="2" t="s">
        <v>53</v>
      </c>
      <c r="M48" s="2" t="s">
        <v>109</v>
      </c>
      <c r="N48" s="2" t="s">
        <v>35</v>
      </c>
      <c r="O48" s="2" t="s">
        <v>36</v>
      </c>
      <c r="P48" s="2" t="s">
        <v>44</v>
      </c>
      <c r="Q48" s="4">
        <v>5000</v>
      </c>
      <c r="R48" s="2" t="s">
        <v>38</v>
      </c>
      <c r="S48" s="4">
        <v>5000</v>
      </c>
      <c r="T48" s="2" t="s">
        <v>39</v>
      </c>
      <c r="U48" s="2" t="s">
        <v>40</v>
      </c>
      <c r="V48" s="2" t="s">
        <v>44</v>
      </c>
      <c r="W48" s="3">
        <v>0</v>
      </c>
      <c r="X48" s="3">
        <v>0</v>
      </c>
      <c r="Y48" s="2"/>
      <c r="Z48" s="3">
        <v>0</v>
      </c>
      <c r="AA48" s="2"/>
    </row>
    <row r="49" spans="1:27" ht="16.5" customHeight="1" x14ac:dyDescent="0.25">
      <c r="A49" s="2" t="s">
        <v>150</v>
      </c>
      <c r="B49" s="2" t="s">
        <v>26</v>
      </c>
      <c r="C49" s="2" t="s">
        <v>27</v>
      </c>
      <c r="D49" s="2" t="s">
        <v>27</v>
      </c>
      <c r="E49" s="2" t="s">
        <v>28</v>
      </c>
      <c r="F49" s="2" t="s">
        <v>29</v>
      </c>
      <c r="G49" s="2" t="s">
        <v>30</v>
      </c>
      <c r="H49" s="2" t="s">
        <v>31</v>
      </c>
      <c r="I49" s="2"/>
      <c r="J49" s="3">
        <v>1</v>
      </c>
      <c r="K49" s="2" t="s">
        <v>151</v>
      </c>
      <c r="L49" s="2" t="s">
        <v>53</v>
      </c>
      <c r="M49" s="2" t="s">
        <v>152</v>
      </c>
      <c r="N49" s="2" t="s">
        <v>35</v>
      </c>
      <c r="O49" s="2" t="s">
        <v>36</v>
      </c>
      <c r="P49" s="2" t="s">
        <v>58</v>
      </c>
      <c r="Q49" s="4">
        <v>10000</v>
      </c>
      <c r="R49" s="2" t="s">
        <v>38</v>
      </c>
      <c r="S49" s="4">
        <v>10000</v>
      </c>
      <c r="T49" s="2" t="s">
        <v>39</v>
      </c>
      <c r="U49" s="2" t="s">
        <v>40</v>
      </c>
      <c r="V49" s="2" t="s">
        <v>58</v>
      </c>
      <c r="W49" s="3">
        <v>0</v>
      </c>
      <c r="X49" s="3">
        <v>0</v>
      </c>
      <c r="Y49" s="2"/>
      <c r="Z49" s="3">
        <v>0</v>
      </c>
      <c r="AA49" s="2"/>
    </row>
    <row r="50" spans="1:27" ht="16.5" customHeight="1" x14ac:dyDescent="0.25">
      <c r="A50" s="2" t="s">
        <v>150</v>
      </c>
      <c r="B50" s="2" t="s">
        <v>26</v>
      </c>
      <c r="C50" s="2" t="s">
        <v>27</v>
      </c>
      <c r="D50" s="2" t="s">
        <v>27</v>
      </c>
      <c r="E50" s="2" t="s">
        <v>28</v>
      </c>
      <c r="F50" s="2" t="s">
        <v>29</v>
      </c>
      <c r="G50" s="2" t="s">
        <v>30</v>
      </c>
      <c r="H50" s="2" t="s">
        <v>31</v>
      </c>
      <c r="I50" s="2"/>
      <c r="J50" s="3">
        <v>2</v>
      </c>
      <c r="K50" s="2" t="s">
        <v>153</v>
      </c>
      <c r="L50" s="2" t="s">
        <v>53</v>
      </c>
      <c r="M50" s="2" t="s">
        <v>154</v>
      </c>
      <c r="N50" s="2" t="s">
        <v>35</v>
      </c>
      <c r="O50" s="2" t="s">
        <v>36</v>
      </c>
      <c r="P50" s="2" t="s">
        <v>37</v>
      </c>
      <c r="Q50" s="4">
        <v>5000</v>
      </c>
      <c r="R50" s="2" t="s">
        <v>38</v>
      </c>
      <c r="S50" s="4">
        <v>5000</v>
      </c>
      <c r="T50" s="2" t="s">
        <v>39</v>
      </c>
      <c r="U50" s="2" t="s">
        <v>40</v>
      </c>
      <c r="V50" s="2" t="s">
        <v>37</v>
      </c>
      <c r="W50" s="3">
        <v>0</v>
      </c>
      <c r="X50" s="3">
        <v>0</v>
      </c>
      <c r="Y50" s="2"/>
      <c r="Z50" s="3">
        <v>0</v>
      </c>
      <c r="AA50" s="2"/>
    </row>
    <row r="51" spans="1:27" ht="16.5" customHeight="1" x14ac:dyDescent="0.25">
      <c r="A51" s="2" t="s">
        <v>150</v>
      </c>
      <c r="B51" s="2" t="s">
        <v>26</v>
      </c>
      <c r="C51" s="2" t="s">
        <v>27</v>
      </c>
      <c r="D51" s="2" t="s">
        <v>27</v>
      </c>
      <c r="E51" s="2" t="s">
        <v>28</v>
      </c>
      <c r="F51" s="2" t="s">
        <v>29</v>
      </c>
      <c r="G51" s="2" t="s">
        <v>30</v>
      </c>
      <c r="H51" s="2" t="s">
        <v>31</v>
      </c>
      <c r="I51" s="2"/>
      <c r="J51" s="3">
        <v>3</v>
      </c>
      <c r="K51" s="2" t="s">
        <v>155</v>
      </c>
      <c r="L51" s="2" t="s">
        <v>53</v>
      </c>
      <c r="M51" s="2" t="s">
        <v>156</v>
      </c>
      <c r="N51" s="2" t="s">
        <v>35</v>
      </c>
      <c r="O51" s="2" t="s">
        <v>36</v>
      </c>
      <c r="P51" s="2" t="s">
        <v>44</v>
      </c>
      <c r="Q51" s="4">
        <v>15000</v>
      </c>
      <c r="R51" s="2" t="s">
        <v>38</v>
      </c>
      <c r="S51" s="4">
        <v>15000</v>
      </c>
      <c r="T51" s="2" t="s">
        <v>39</v>
      </c>
      <c r="U51" s="2" t="s">
        <v>40</v>
      </c>
      <c r="V51" s="2" t="s">
        <v>44</v>
      </c>
      <c r="W51" s="3">
        <v>0</v>
      </c>
      <c r="X51" s="3">
        <v>0</v>
      </c>
      <c r="Y51" s="2"/>
      <c r="Z51" s="3">
        <v>0</v>
      </c>
      <c r="AA51" s="2"/>
    </row>
    <row r="52" spans="1:27" ht="16.5" customHeight="1" x14ac:dyDescent="0.25">
      <c r="A52" s="2" t="s">
        <v>150</v>
      </c>
      <c r="B52" s="2" t="s">
        <v>26</v>
      </c>
      <c r="C52" s="2" t="s">
        <v>27</v>
      </c>
      <c r="D52" s="2" t="s">
        <v>27</v>
      </c>
      <c r="E52" s="2" t="s">
        <v>28</v>
      </c>
      <c r="F52" s="2" t="s">
        <v>29</v>
      </c>
      <c r="G52" s="2" t="s">
        <v>30</v>
      </c>
      <c r="H52" s="2" t="s">
        <v>31</v>
      </c>
      <c r="I52" s="2"/>
      <c r="J52" s="3">
        <v>4</v>
      </c>
      <c r="K52" s="2" t="s">
        <v>157</v>
      </c>
      <c r="L52" s="2" t="s">
        <v>33</v>
      </c>
      <c r="M52" s="2" t="s">
        <v>158</v>
      </c>
      <c r="N52" s="2" t="s">
        <v>35</v>
      </c>
      <c r="O52" s="2" t="s">
        <v>36</v>
      </c>
      <c r="P52" s="2" t="s">
        <v>58</v>
      </c>
      <c r="Q52" s="4">
        <v>8000</v>
      </c>
      <c r="R52" s="2" t="s">
        <v>38</v>
      </c>
      <c r="S52" s="4">
        <v>8000</v>
      </c>
      <c r="T52" s="2" t="s">
        <v>39</v>
      </c>
      <c r="U52" s="2" t="s">
        <v>40</v>
      </c>
      <c r="V52" s="2" t="s">
        <v>58</v>
      </c>
      <c r="W52" s="3">
        <v>0</v>
      </c>
      <c r="X52" s="3">
        <v>0</v>
      </c>
      <c r="Y52" s="2"/>
      <c r="Z52" s="3">
        <v>0</v>
      </c>
      <c r="AA52" s="2"/>
    </row>
    <row r="53" spans="1:27" ht="16.5" customHeight="1" x14ac:dyDescent="0.25">
      <c r="A53" s="2" t="s">
        <v>150</v>
      </c>
      <c r="B53" s="2" t="s">
        <v>26</v>
      </c>
      <c r="C53" s="2" t="s">
        <v>27</v>
      </c>
      <c r="D53" s="2" t="s">
        <v>27</v>
      </c>
      <c r="E53" s="2" t="s">
        <v>28</v>
      </c>
      <c r="F53" s="2" t="s">
        <v>29</v>
      </c>
      <c r="G53" s="2" t="s">
        <v>30</v>
      </c>
      <c r="H53" s="2" t="s">
        <v>31</v>
      </c>
      <c r="I53" s="2"/>
      <c r="J53" s="3">
        <v>5</v>
      </c>
      <c r="K53" s="2" t="s">
        <v>159</v>
      </c>
      <c r="L53" s="2" t="s">
        <v>160</v>
      </c>
      <c r="M53" s="2" t="s">
        <v>161</v>
      </c>
      <c r="N53" s="2" t="s">
        <v>35</v>
      </c>
      <c r="O53" s="2" t="s">
        <v>36</v>
      </c>
      <c r="P53" s="2" t="s">
        <v>76</v>
      </c>
      <c r="Q53" s="4">
        <v>6000</v>
      </c>
      <c r="R53" s="2" t="s">
        <v>38</v>
      </c>
      <c r="S53" s="4">
        <v>6000</v>
      </c>
      <c r="T53" s="2" t="s">
        <v>39</v>
      </c>
      <c r="U53" s="2" t="s">
        <v>40</v>
      </c>
      <c r="V53" s="2" t="s">
        <v>76</v>
      </c>
      <c r="W53" s="3">
        <v>0</v>
      </c>
      <c r="X53" s="3">
        <v>0</v>
      </c>
      <c r="Y53" s="2"/>
      <c r="Z53" s="3">
        <v>0</v>
      </c>
      <c r="AA53" s="2"/>
    </row>
    <row r="54" spans="1:27" ht="16.5" customHeight="1" x14ac:dyDescent="0.25">
      <c r="A54" s="2" t="s">
        <v>150</v>
      </c>
      <c r="B54" s="2" t="s">
        <v>26</v>
      </c>
      <c r="C54" s="2" t="s">
        <v>27</v>
      </c>
      <c r="D54" s="2" t="s">
        <v>27</v>
      </c>
      <c r="E54" s="2" t="s">
        <v>28</v>
      </c>
      <c r="F54" s="2" t="s">
        <v>29</v>
      </c>
      <c r="G54" s="2" t="s">
        <v>30</v>
      </c>
      <c r="H54" s="2" t="s">
        <v>31</v>
      </c>
      <c r="I54" s="2"/>
      <c r="J54" s="3">
        <v>6</v>
      </c>
      <c r="K54" s="2" t="s">
        <v>162</v>
      </c>
      <c r="L54" s="2" t="s">
        <v>163</v>
      </c>
      <c r="M54" s="2" t="s">
        <v>164</v>
      </c>
      <c r="N54" s="2" t="s">
        <v>35</v>
      </c>
      <c r="O54" s="2" t="s">
        <v>36</v>
      </c>
      <c r="P54" s="2" t="s">
        <v>44</v>
      </c>
      <c r="Q54" s="4">
        <v>8000</v>
      </c>
      <c r="R54" s="2" t="s">
        <v>38</v>
      </c>
      <c r="S54" s="4">
        <v>8000</v>
      </c>
      <c r="T54" s="2" t="s">
        <v>39</v>
      </c>
      <c r="U54" s="2" t="s">
        <v>40</v>
      </c>
      <c r="V54" s="2" t="s">
        <v>44</v>
      </c>
      <c r="W54" s="3">
        <v>0</v>
      </c>
      <c r="X54" s="3">
        <v>0</v>
      </c>
      <c r="Y54" s="2"/>
      <c r="Z54" s="3">
        <v>0</v>
      </c>
      <c r="AA54" s="2"/>
    </row>
    <row r="55" spans="1:27" ht="16.5" customHeight="1" x14ac:dyDescent="0.25">
      <c r="A55" s="2" t="s">
        <v>150</v>
      </c>
      <c r="B55" s="2" t="s">
        <v>26</v>
      </c>
      <c r="C55" s="2" t="s">
        <v>27</v>
      </c>
      <c r="D55" s="2" t="s">
        <v>27</v>
      </c>
      <c r="E55" s="2" t="s">
        <v>28</v>
      </c>
      <c r="F55" s="2" t="s">
        <v>29</v>
      </c>
      <c r="G55" s="2" t="s">
        <v>30</v>
      </c>
      <c r="H55" s="2" t="s">
        <v>31</v>
      </c>
      <c r="I55" s="2"/>
      <c r="J55" s="3">
        <v>7</v>
      </c>
      <c r="K55" s="2" t="s">
        <v>165</v>
      </c>
      <c r="L55" s="2" t="s">
        <v>53</v>
      </c>
      <c r="M55" s="2" t="s">
        <v>166</v>
      </c>
      <c r="N55" s="2" t="s">
        <v>35</v>
      </c>
      <c r="O55" s="2" t="s">
        <v>36</v>
      </c>
      <c r="P55" s="2" t="s">
        <v>58</v>
      </c>
      <c r="Q55" s="4">
        <v>25000</v>
      </c>
      <c r="R55" s="2" t="s">
        <v>38</v>
      </c>
      <c r="S55" s="4">
        <v>25000</v>
      </c>
      <c r="T55" s="2" t="s">
        <v>39</v>
      </c>
      <c r="U55" s="2" t="s">
        <v>40</v>
      </c>
      <c r="V55" s="2" t="s">
        <v>58</v>
      </c>
      <c r="W55" s="3">
        <v>0</v>
      </c>
      <c r="X55" s="3">
        <v>0</v>
      </c>
      <c r="Y55" s="2"/>
      <c r="Z55" s="3">
        <v>0</v>
      </c>
      <c r="AA55" s="2"/>
    </row>
    <row r="56" spans="1:27" ht="16.5" customHeight="1" x14ac:dyDescent="0.25">
      <c r="A56" s="2" t="s">
        <v>150</v>
      </c>
      <c r="B56" s="2" t="s">
        <v>26</v>
      </c>
      <c r="C56" s="2" t="s">
        <v>27</v>
      </c>
      <c r="D56" s="2" t="s">
        <v>27</v>
      </c>
      <c r="E56" s="2" t="s">
        <v>28</v>
      </c>
      <c r="F56" s="2" t="s">
        <v>29</v>
      </c>
      <c r="G56" s="2" t="s">
        <v>30</v>
      </c>
      <c r="H56" s="2" t="s">
        <v>31</v>
      </c>
      <c r="I56" s="2"/>
      <c r="J56" s="3">
        <v>8</v>
      </c>
      <c r="K56" s="2" t="s">
        <v>167</v>
      </c>
      <c r="L56" s="2" t="s">
        <v>53</v>
      </c>
      <c r="M56" s="2" t="s">
        <v>168</v>
      </c>
      <c r="N56" s="2" t="s">
        <v>35</v>
      </c>
      <c r="O56" s="2" t="s">
        <v>36</v>
      </c>
      <c r="P56" s="2" t="s">
        <v>58</v>
      </c>
      <c r="Q56" s="4">
        <v>30000</v>
      </c>
      <c r="R56" s="2" t="s">
        <v>38</v>
      </c>
      <c r="S56" s="4">
        <v>30000</v>
      </c>
      <c r="T56" s="2" t="s">
        <v>39</v>
      </c>
      <c r="U56" s="2" t="s">
        <v>40</v>
      </c>
      <c r="V56" s="2" t="s">
        <v>58</v>
      </c>
      <c r="W56" s="3">
        <v>0</v>
      </c>
      <c r="X56" s="3">
        <v>0</v>
      </c>
      <c r="Y56" s="2"/>
      <c r="Z56" s="3">
        <v>0</v>
      </c>
      <c r="AA56" s="2"/>
    </row>
    <row r="57" spans="1:27" ht="16.5" customHeight="1" x14ac:dyDescent="0.25">
      <c r="A57" s="2" t="s">
        <v>150</v>
      </c>
      <c r="B57" s="2" t="s">
        <v>26</v>
      </c>
      <c r="C57" s="2" t="s">
        <v>27</v>
      </c>
      <c r="D57" s="2" t="s">
        <v>27</v>
      </c>
      <c r="E57" s="2" t="s">
        <v>28</v>
      </c>
      <c r="F57" s="2" t="s">
        <v>29</v>
      </c>
      <c r="G57" s="2" t="s">
        <v>30</v>
      </c>
      <c r="H57" s="2" t="s">
        <v>31</v>
      </c>
      <c r="I57" s="2"/>
      <c r="J57" s="3">
        <v>9</v>
      </c>
      <c r="K57" s="2" t="s">
        <v>169</v>
      </c>
      <c r="L57" s="2" t="s">
        <v>53</v>
      </c>
      <c r="M57" s="2" t="s">
        <v>170</v>
      </c>
      <c r="N57" s="2" t="s">
        <v>35</v>
      </c>
      <c r="O57" s="2" t="s">
        <v>36</v>
      </c>
      <c r="P57" s="2" t="s">
        <v>58</v>
      </c>
      <c r="Q57" s="4">
        <v>20000</v>
      </c>
      <c r="R57" s="2" t="s">
        <v>38</v>
      </c>
      <c r="S57" s="4">
        <v>20000</v>
      </c>
      <c r="T57" s="2" t="s">
        <v>39</v>
      </c>
      <c r="U57" s="2" t="s">
        <v>40</v>
      </c>
      <c r="V57" s="2" t="s">
        <v>58</v>
      </c>
      <c r="W57" s="3">
        <v>0</v>
      </c>
      <c r="X57" s="3">
        <v>0</v>
      </c>
      <c r="Y57" s="2"/>
      <c r="Z57" s="3">
        <v>0</v>
      </c>
      <c r="AA57" s="2"/>
    </row>
    <row r="58" spans="1:27" ht="16.5" customHeight="1" x14ac:dyDescent="0.25">
      <c r="A58" s="2" t="s">
        <v>150</v>
      </c>
      <c r="B58" s="2" t="s">
        <v>26</v>
      </c>
      <c r="C58" s="2" t="s">
        <v>27</v>
      </c>
      <c r="D58" s="2" t="s">
        <v>27</v>
      </c>
      <c r="E58" s="2" t="s">
        <v>28</v>
      </c>
      <c r="F58" s="2" t="s">
        <v>29</v>
      </c>
      <c r="G58" s="2" t="s">
        <v>30</v>
      </c>
      <c r="H58" s="2" t="s">
        <v>31</v>
      </c>
      <c r="I58" s="2"/>
      <c r="J58" s="3">
        <v>10</v>
      </c>
      <c r="K58" s="2" t="s">
        <v>171</v>
      </c>
      <c r="L58" s="2" t="s">
        <v>53</v>
      </c>
      <c r="M58" s="2" t="s">
        <v>172</v>
      </c>
      <c r="N58" s="2" t="s">
        <v>35</v>
      </c>
      <c r="O58" s="2" t="s">
        <v>36</v>
      </c>
      <c r="P58" s="2" t="s">
        <v>58</v>
      </c>
      <c r="Q58" s="4">
        <v>10000</v>
      </c>
      <c r="R58" s="2" t="s">
        <v>38</v>
      </c>
      <c r="S58" s="4">
        <v>10000</v>
      </c>
      <c r="T58" s="2" t="s">
        <v>39</v>
      </c>
      <c r="U58" s="2" t="s">
        <v>40</v>
      </c>
      <c r="V58" s="2" t="s">
        <v>58</v>
      </c>
      <c r="W58" s="3">
        <v>0</v>
      </c>
      <c r="X58" s="3">
        <v>0</v>
      </c>
      <c r="Y58" s="2"/>
      <c r="Z58" s="3">
        <v>0</v>
      </c>
      <c r="AA58" s="2"/>
    </row>
    <row r="59" spans="1:27" ht="16.5" customHeight="1" x14ac:dyDescent="0.25">
      <c r="A59" s="2" t="s">
        <v>150</v>
      </c>
      <c r="B59" s="2" t="s">
        <v>26</v>
      </c>
      <c r="C59" s="2" t="s">
        <v>27</v>
      </c>
      <c r="D59" s="2" t="s">
        <v>27</v>
      </c>
      <c r="E59" s="2" t="s">
        <v>28</v>
      </c>
      <c r="F59" s="2" t="s">
        <v>29</v>
      </c>
      <c r="G59" s="2" t="s">
        <v>30</v>
      </c>
      <c r="H59" s="2" t="s">
        <v>31</v>
      </c>
      <c r="I59" s="2"/>
      <c r="J59" s="3">
        <v>11</v>
      </c>
      <c r="K59" s="2" t="s">
        <v>173</v>
      </c>
      <c r="L59" s="2" t="s">
        <v>53</v>
      </c>
      <c r="M59" s="2" t="s">
        <v>174</v>
      </c>
      <c r="N59" s="2" t="s">
        <v>35</v>
      </c>
      <c r="O59" s="2" t="s">
        <v>36</v>
      </c>
      <c r="P59" s="2" t="s">
        <v>58</v>
      </c>
      <c r="Q59" s="4">
        <v>25000</v>
      </c>
      <c r="R59" s="2" t="s">
        <v>38</v>
      </c>
      <c r="S59" s="4">
        <v>25000</v>
      </c>
      <c r="T59" s="2" t="s">
        <v>39</v>
      </c>
      <c r="U59" s="2" t="s">
        <v>40</v>
      </c>
      <c r="V59" s="2" t="s">
        <v>58</v>
      </c>
      <c r="W59" s="3">
        <v>0</v>
      </c>
      <c r="X59" s="3">
        <v>0</v>
      </c>
      <c r="Y59" s="2"/>
      <c r="Z59" s="3">
        <v>0</v>
      </c>
      <c r="AA59" s="2"/>
    </row>
    <row r="60" spans="1:27" ht="16.5" customHeight="1" x14ac:dyDescent="0.25">
      <c r="A60" s="2" t="s">
        <v>150</v>
      </c>
      <c r="B60" s="2" t="s">
        <v>26</v>
      </c>
      <c r="C60" s="2" t="s">
        <v>27</v>
      </c>
      <c r="D60" s="2" t="s">
        <v>27</v>
      </c>
      <c r="E60" s="2" t="s">
        <v>28</v>
      </c>
      <c r="F60" s="2" t="s">
        <v>29</v>
      </c>
      <c r="G60" s="2" t="s">
        <v>30</v>
      </c>
      <c r="H60" s="2" t="s">
        <v>31</v>
      </c>
      <c r="I60" s="2"/>
      <c r="J60" s="3">
        <v>12</v>
      </c>
      <c r="K60" s="2" t="s">
        <v>175</v>
      </c>
      <c r="L60" s="2" t="s">
        <v>53</v>
      </c>
      <c r="M60" s="2" t="s">
        <v>176</v>
      </c>
      <c r="N60" s="2" t="s">
        <v>35</v>
      </c>
      <c r="O60" s="2" t="s">
        <v>36</v>
      </c>
      <c r="P60" s="2" t="s">
        <v>44</v>
      </c>
      <c r="Q60" s="4">
        <v>10000</v>
      </c>
      <c r="R60" s="2" t="s">
        <v>38</v>
      </c>
      <c r="S60" s="4">
        <v>10000</v>
      </c>
      <c r="T60" s="2" t="s">
        <v>39</v>
      </c>
      <c r="U60" s="2" t="s">
        <v>40</v>
      </c>
      <c r="V60" s="2" t="s">
        <v>44</v>
      </c>
      <c r="W60" s="3">
        <v>0</v>
      </c>
      <c r="X60" s="3">
        <v>0</v>
      </c>
      <c r="Y60" s="2"/>
      <c r="Z60" s="3">
        <v>0</v>
      </c>
      <c r="AA60" s="2"/>
    </row>
    <row r="61" spans="1:27" ht="16.5" customHeight="1" x14ac:dyDescent="0.25">
      <c r="A61" s="2" t="s">
        <v>150</v>
      </c>
      <c r="B61" s="2" t="s">
        <v>26</v>
      </c>
      <c r="C61" s="2" t="s">
        <v>27</v>
      </c>
      <c r="D61" s="2" t="s">
        <v>27</v>
      </c>
      <c r="E61" s="2" t="s">
        <v>28</v>
      </c>
      <c r="F61" s="2" t="s">
        <v>29</v>
      </c>
      <c r="G61" s="2" t="s">
        <v>30</v>
      </c>
      <c r="H61" s="2" t="s">
        <v>31</v>
      </c>
      <c r="I61" s="2"/>
      <c r="J61" s="3">
        <v>13</v>
      </c>
      <c r="K61" s="2" t="s">
        <v>177</v>
      </c>
      <c r="L61" s="2" t="s">
        <v>53</v>
      </c>
      <c r="M61" s="2" t="s">
        <v>178</v>
      </c>
      <c r="N61" s="2" t="s">
        <v>35</v>
      </c>
      <c r="O61" s="2" t="s">
        <v>36</v>
      </c>
      <c r="P61" s="2" t="s">
        <v>97</v>
      </c>
      <c r="Q61" s="4">
        <v>10000</v>
      </c>
      <c r="R61" s="2" t="s">
        <v>38</v>
      </c>
      <c r="S61" s="4">
        <v>10000</v>
      </c>
      <c r="T61" s="2" t="s">
        <v>39</v>
      </c>
      <c r="U61" s="2" t="s">
        <v>40</v>
      </c>
      <c r="V61" s="2" t="s">
        <v>97</v>
      </c>
      <c r="W61" s="3">
        <v>0</v>
      </c>
      <c r="X61" s="3">
        <v>0</v>
      </c>
      <c r="Y61" s="2"/>
      <c r="Z61" s="3">
        <v>0</v>
      </c>
      <c r="AA61" s="2"/>
    </row>
    <row r="62" spans="1:27" ht="16.5" customHeight="1" x14ac:dyDescent="0.25">
      <c r="A62" s="2" t="s">
        <v>150</v>
      </c>
      <c r="B62" s="2" t="s">
        <v>26</v>
      </c>
      <c r="C62" s="2" t="s">
        <v>27</v>
      </c>
      <c r="D62" s="2" t="s">
        <v>27</v>
      </c>
      <c r="E62" s="2" t="s">
        <v>28</v>
      </c>
      <c r="F62" s="2" t="s">
        <v>29</v>
      </c>
      <c r="G62" s="2" t="s">
        <v>30</v>
      </c>
      <c r="H62" s="2" t="s">
        <v>31</v>
      </c>
      <c r="I62" s="2"/>
      <c r="J62" s="3">
        <v>14</v>
      </c>
      <c r="K62" s="2" t="s">
        <v>179</v>
      </c>
      <c r="L62" s="2" t="s">
        <v>180</v>
      </c>
      <c r="M62" s="2" t="s">
        <v>181</v>
      </c>
      <c r="N62" s="2" t="s">
        <v>35</v>
      </c>
      <c r="O62" s="2" t="s">
        <v>36</v>
      </c>
      <c r="P62" s="2" t="s">
        <v>182</v>
      </c>
      <c r="Q62" s="4">
        <v>7500</v>
      </c>
      <c r="R62" s="2" t="s">
        <v>38</v>
      </c>
      <c r="S62" s="4">
        <v>7500</v>
      </c>
      <c r="T62" s="2" t="s">
        <v>39</v>
      </c>
      <c r="U62" s="2" t="s">
        <v>40</v>
      </c>
      <c r="V62" s="2" t="s">
        <v>182</v>
      </c>
      <c r="W62" s="3">
        <v>0</v>
      </c>
      <c r="X62" s="3">
        <v>0</v>
      </c>
      <c r="Y62" s="2"/>
      <c r="Z62" s="3">
        <v>0</v>
      </c>
      <c r="AA62" s="2"/>
    </row>
    <row r="63" spans="1:27" ht="16.5" customHeight="1" x14ac:dyDescent="0.25">
      <c r="A63" s="2" t="s">
        <v>150</v>
      </c>
      <c r="B63" s="2" t="s">
        <v>26</v>
      </c>
      <c r="C63" s="2" t="s">
        <v>27</v>
      </c>
      <c r="D63" s="2" t="s">
        <v>27</v>
      </c>
      <c r="E63" s="2" t="s">
        <v>28</v>
      </c>
      <c r="F63" s="2" t="s">
        <v>29</v>
      </c>
      <c r="G63" s="2" t="s">
        <v>30</v>
      </c>
      <c r="H63" s="2" t="s">
        <v>31</v>
      </c>
      <c r="I63" s="2"/>
      <c r="J63" s="3">
        <v>15</v>
      </c>
      <c r="K63" s="2" t="s">
        <v>183</v>
      </c>
      <c r="L63" s="2" t="s">
        <v>53</v>
      </c>
      <c r="M63" s="2" t="s">
        <v>184</v>
      </c>
      <c r="N63" s="2" t="s">
        <v>35</v>
      </c>
      <c r="O63" s="2" t="s">
        <v>36</v>
      </c>
      <c r="P63" s="2" t="s">
        <v>44</v>
      </c>
      <c r="Q63" s="4">
        <v>5000</v>
      </c>
      <c r="R63" s="2" t="s">
        <v>38</v>
      </c>
      <c r="S63" s="4">
        <v>5000</v>
      </c>
      <c r="T63" s="2" t="s">
        <v>39</v>
      </c>
      <c r="U63" s="2" t="s">
        <v>40</v>
      </c>
      <c r="V63" s="2" t="s">
        <v>44</v>
      </c>
      <c r="W63" s="3">
        <v>0</v>
      </c>
      <c r="X63" s="3">
        <v>0</v>
      </c>
      <c r="Y63" s="2"/>
      <c r="Z63" s="3">
        <v>0</v>
      </c>
      <c r="AA63" s="2"/>
    </row>
    <row r="64" spans="1:27" ht="16.5" customHeight="1" x14ac:dyDescent="0.25">
      <c r="A64" s="2" t="s">
        <v>150</v>
      </c>
      <c r="B64" s="2" t="s">
        <v>26</v>
      </c>
      <c r="C64" s="2" t="s">
        <v>27</v>
      </c>
      <c r="D64" s="2" t="s">
        <v>27</v>
      </c>
      <c r="E64" s="2" t="s">
        <v>28</v>
      </c>
      <c r="F64" s="2" t="s">
        <v>29</v>
      </c>
      <c r="G64" s="2" t="s">
        <v>30</v>
      </c>
      <c r="H64" s="2" t="s">
        <v>31</v>
      </c>
      <c r="I64" s="2"/>
      <c r="J64" s="3">
        <v>16</v>
      </c>
      <c r="K64" s="2" t="s">
        <v>185</v>
      </c>
      <c r="L64" s="2" t="s">
        <v>53</v>
      </c>
      <c r="M64" s="2" t="s">
        <v>186</v>
      </c>
      <c r="N64" s="2" t="s">
        <v>35</v>
      </c>
      <c r="O64" s="2" t="s">
        <v>36</v>
      </c>
      <c r="P64" s="2" t="s">
        <v>58</v>
      </c>
      <c r="Q64" s="4">
        <v>10000</v>
      </c>
      <c r="R64" s="2" t="s">
        <v>38</v>
      </c>
      <c r="S64" s="4">
        <v>10000</v>
      </c>
      <c r="T64" s="2" t="s">
        <v>39</v>
      </c>
      <c r="U64" s="2" t="s">
        <v>40</v>
      </c>
      <c r="V64" s="2" t="s">
        <v>58</v>
      </c>
      <c r="W64" s="3">
        <v>0</v>
      </c>
      <c r="X64" s="3">
        <v>0</v>
      </c>
      <c r="Y64" s="2"/>
      <c r="Z64" s="3">
        <v>0</v>
      </c>
      <c r="AA64" s="2"/>
    </row>
    <row r="65" spans="1:27" ht="16.5" customHeight="1" x14ac:dyDescent="0.25">
      <c r="A65" s="2" t="s">
        <v>150</v>
      </c>
      <c r="B65" s="2" t="s">
        <v>26</v>
      </c>
      <c r="C65" s="2" t="s">
        <v>27</v>
      </c>
      <c r="D65" s="2" t="s">
        <v>27</v>
      </c>
      <c r="E65" s="2" t="s">
        <v>28</v>
      </c>
      <c r="F65" s="2" t="s">
        <v>29</v>
      </c>
      <c r="G65" s="2" t="s">
        <v>30</v>
      </c>
      <c r="H65" s="2" t="s">
        <v>31</v>
      </c>
      <c r="I65" s="2"/>
      <c r="J65" s="3">
        <v>17</v>
      </c>
      <c r="K65" s="2" t="s">
        <v>187</v>
      </c>
      <c r="L65" s="2" t="s">
        <v>53</v>
      </c>
      <c r="M65" s="2" t="s">
        <v>188</v>
      </c>
      <c r="N65" s="2" t="s">
        <v>35</v>
      </c>
      <c r="O65" s="2" t="s">
        <v>36</v>
      </c>
      <c r="P65" s="2" t="s">
        <v>37</v>
      </c>
      <c r="Q65" s="4">
        <v>10000</v>
      </c>
      <c r="R65" s="2" t="s">
        <v>38</v>
      </c>
      <c r="S65" s="4">
        <v>10000</v>
      </c>
      <c r="T65" s="2" t="s">
        <v>39</v>
      </c>
      <c r="U65" s="2" t="s">
        <v>40</v>
      </c>
      <c r="V65" s="2" t="s">
        <v>37</v>
      </c>
      <c r="W65" s="3">
        <v>0</v>
      </c>
      <c r="X65" s="3">
        <v>0</v>
      </c>
      <c r="Y65" s="2"/>
      <c r="Z65" s="3">
        <v>0</v>
      </c>
      <c r="AA65" s="2"/>
    </row>
    <row r="66" spans="1:27" ht="16.5" customHeight="1" x14ac:dyDescent="0.25">
      <c r="A66" s="2" t="s">
        <v>150</v>
      </c>
      <c r="B66" s="2" t="s">
        <v>26</v>
      </c>
      <c r="C66" s="2" t="s">
        <v>27</v>
      </c>
      <c r="D66" s="2" t="s">
        <v>27</v>
      </c>
      <c r="E66" s="2" t="s">
        <v>28</v>
      </c>
      <c r="F66" s="2" t="s">
        <v>29</v>
      </c>
      <c r="G66" s="2" t="s">
        <v>30</v>
      </c>
      <c r="H66" s="2" t="s">
        <v>31</v>
      </c>
      <c r="I66" s="2"/>
      <c r="J66" s="3">
        <v>18</v>
      </c>
      <c r="K66" s="2" t="s">
        <v>189</v>
      </c>
      <c r="L66" s="2" t="s">
        <v>53</v>
      </c>
      <c r="M66" s="2" t="s">
        <v>190</v>
      </c>
      <c r="N66" s="2" t="s">
        <v>35</v>
      </c>
      <c r="O66" s="2" t="s">
        <v>36</v>
      </c>
      <c r="P66" s="2" t="s">
        <v>58</v>
      </c>
      <c r="Q66" s="4">
        <v>10000</v>
      </c>
      <c r="R66" s="2" t="s">
        <v>38</v>
      </c>
      <c r="S66" s="4">
        <v>10000</v>
      </c>
      <c r="T66" s="2" t="s">
        <v>39</v>
      </c>
      <c r="U66" s="2" t="s">
        <v>40</v>
      </c>
      <c r="V66" s="2" t="s">
        <v>58</v>
      </c>
      <c r="W66" s="3">
        <v>0</v>
      </c>
      <c r="X66" s="3">
        <v>0</v>
      </c>
      <c r="Y66" s="2"/>
      <c r="Z66" s="3">
        <v>0</v>
      </c>
      <c r="AA66" s="2"/>
    </row>
    <row r="67" spans="1:27" ht="16.5" customHeight="1" x14ac:dyDescent="0.25">
      <c r="A67" s="2" t="s">
        <v>150</v>
      </c>
      <c r="B67" s="2" t="s">
        <v>26</v>
      </c>
      <c r="C67" s="2" t="s">
        <v>27</v>
      </c>
      <c r="D67" s="2" t="s">
        <v>27</v>
      </c>
      <c r="E67" s="2" t="s">
        <v>28</v>
      </c>
      <c r="F67" s="2" t="s">
        <v>29</v>
      </c>
      <c r="G67" s="2" t="s">
        <v>30</v>
      </c>
      <c r="H67" s="2" t="s">
        <v>31</v>
      </c>
      <c r="I67" s="2"/>
      <c r="J67" s="3">
        <v>19</v>
      </c>
      <c r="K67" s="2" t="s">
        <v>191</v>
      </c>
      <c r="L67" s="2" t="s">
        <v>53</v>
      </c>
      <c r="M67" s="2" t="s">
        <v>192</v>
      </c>
      <c r="N67" s="2" t="s">
        <v>35</v>
      </c>
      <c r="O67" s="2" t="s">
        <v>36</v>
      </c>
      <c r="P67" s="2" t="s">
        <v>44</v>
      </c>
      <c r="Q67" s="4">
        <v>5000</v>
      </c>
      <c r="R67" s="2" t="s">
        <v>38</v>
      </c>
      <c r="S67" s="4">
        <v>5000</v>
      </c>
      <c r="T67" s="2" t="s">
        <v>39</v>
      </c>
      <c r="U67" s="2" t="s">
        <v>40</v>
      </c>
      <c r="V67" s="2" t="s">
        <v>44</v>
      </c>
      <c r="W67" s="3">
        <v>0</v>
      </c>
      <c r="X67" s="3">
        <v>0</v>
      </c>
      <c r="Y67" s="2"/>
      <c r="Z67" s="3">
        <v>0</v>
      </c>
      <c r="AA67" s="2"/>
    </row>
    <row r="68" spans="1:27" ht="16.5" customHeight="1" x14ac:dyDescent="0.25">
      <c r="A68" s="2" t="s">
        <v>150</v>
      </c>
      <c r="B68" s="2" t="s">
        <v>26</v>
      </c>
      <c r="C68" s="2" t="s">
        <v>27</v>
      </c>
      <c r="D68" s="2" t="s">
        <v>27</v>
      </c>
      <c r="E68" s="2" t="s">
        <v>28</v>
      </c>
      <c r="F68" s="2" t="s">
        <v>29</v>
      </c>
      <c r="G68" s="2" t="s">
        <v>30</v>
      </c>
      <c r="H68" s="2" t="s">
        <v>31</v>
      </c>
      <c r="I68" s="2"/>
      <c r="J68" s="3">
        <v>20</v>
      </c>
      <c r="K68" s="2" t="s">
        <v>193</v>
      </c>
      <c r="L68" s="2" t="s">
        <v>194</v>
      </c>
      <c r="M68" s="2" t="s">
        <v>195</v>
      </c>
      <c r="N68" s="2" t="s">
        <v>35</v>
      </c>
      <c r="O68" s="2" t="s">
        <v>36</v>
      </c>
      <c r="P68" s="2" t="s">
        <v>37</v>
      </c>
      <c r="Q68" s="4">
        <v>6000</v>
      </c>
      <c r="R68" s="2" t="s">
        <v>38</v>
      </c>
      <c r="S68" s="4">
        <v>6000</v>
      </c>
      <c r="T68" s="2" t="s">
        <v>39</v>
      </c>
      <c r="U68" s="2" t="s">
        <v>40</v>
      </c>
      <c r="V68" s="2" t="s">
        <v>37</v>
      </c>
      <c r="W68" s="3">
        <v>0</v>
      </c>
      <c r="X68" s="3">
        <v>0</v>
      </c>
      <c r="Y68" s="2"/>
      <c r="Z68" s="3">
        <v>0</v>
      </c>
      <c r="AA68" s="2"/>
    </row>
    <row r="69" spans="1:27" ht="16.5" customHeight="1" x14ac:dyDescent="0.25">
      <c r="A69" s="2" t="s">
        <v>150</v>
      </c>
      <c r="B69" s="2" t="s">
        <v>26</v>
      </c>
      <c r="C69" s="2" t="s">
        <v>27</v>
      </c>
      <c r="D69" s="2" t="s">
        <v>27</v>
      </c>
      <c r="E69" s="2" t="s">
        <v>28</v>
      </c>
      <c r="F69" s="2" t="s">
        <v>29</v>
      </c>
      <c r="G69" s="2" t="s">
        <v>30</v>
      </c>
      <c r="H69" s="2" t="s">
        <v>31</v>
      </c>
      <c r="I69" s="2"/>
      <c r="J69" s="3">
        <v>21</v>
      </c>
      <c r="K69" s="2" t="s">
        <v>196</v>
      </c>
      <c r="L69" s="2" t="s">
        <v>53</v>
      </c>
      <c r="M69" s="2" t="s">
        <v>197</v>
      </c>
      <c r="N69" s="2" t="s">
        <v>35</v>
      </c>
      <c r="O69" s="2" t="s">
        <v>36</v>
      </c>
      <c r="P69" s="2" t="s">
        <v>44</v>
      </c>
      <c r="Q69" s="4">
        <v>15000</v>
      </c>
      <c r="R69" s="2" t="s">
        <v>38</v>
      </c>
      <c r="S69" s="4">
        <v>15000</v>
      </c>
      <c r="T69" s="2" t="s">
        <v>39</v>
      </c>
      <c r="U69" s="2" t="s">
        <v>40</v>
      </c>
      <c r="V69" s="2" t="s">
        <v>44</v>
      </c>
      <c r="W69" s="3">
        <v>0</v>
      </c>
      <c r="X69" s="3">
        <v>0</v>
      </c>
      <c r="Y69" s="2"/>
      <c r="Z69" s="3">
        <v>0</v>
      </c>
      <c r="AA69" s="2"/>
    </row>
    <row r="70" spans="1:27" ht="16.5" customHeight="1" x14ac:dyDescent="0.25">
      <c r="A70" s="2" t="s">
        <v>150</v>
      </c>
      <c r="B70" s="2" t="s">
        <v>26</v>
      </c>
      <c r="C70" s="2" t="s">
        <v>27</v>
      </c>
      <c r="D70" s="2" t="s">
        <v>27</v>
      </c>
      <c r="E70" s="2" t="s">
        <v>28</v>
      </c>
      <c r="F70" s="2" t="s">
        <v>29</v>
      </c>
      <c r="G70" s="2" t="s">
        <v>30</v>
      </c>
      <c r="H70" s="2" t="s">
        <v>31</v>
      </c>
      <c r="I70" s="2"/>
      <c r="J70" s="3">
        <v>22</v>
      </c>
      <c r="K70" s="2" t="s">
        <v>198</v>
      </c>
      <c r="L70" s="2" t="s">
        <v>53</v>
      </c>
      <c r="M70" s="2" t="s">
        <v>199</v>
      </c>
      <c r="N70" s="2" t="s">
        <v>35</v>
      </c>
      <c r="O70" s="2" t="s">
        <v>36</v>
      </c>
      <c r="P70" s="2" t="s">
        <v>58</v>
      </c>
      <c r="Q70" s="4">
        <v>120000</v>
      </c>
      <c r="R70" s="2" t="s">
        <v>38</v>
      </c>
      <c r="S70" s="4">
        <v>120000</v>
      </c>
      <c r="T70" s="2" t="s">
        <v>39</v>
      </c>
      <c r="U70" s="2" t="s">
        <v>40</v>
      </c>
      <c r="V70" s="2" t="s">
        <v>58</v>
      </c>
      <c r="W70" s="3">
        <v>0</v>
      </c>
      <c r="X70" s="3">
        <v>0</v>
      </c>
      <c r="Y70" s="2"/>
      <c r="Z70" s="3">
        <v>0</v>
      </c>
      <c r="AA70" s="2"/>
    </row>
    <row r="71" spans="1:27" ht="16.5" customHeight="1" x14ac:dyDescent="0.25">
      <c r="A71" s="2" t="s">
        <v>150</v>
      </c>
      <c r="B71" s="2" t="s">
        <v>26</v>
      </c>
      <c r="C71" s="2" t="s">
        <v>27</v>
      </c>
      <c r="D71" s="2" t="s">
        <v>27</v>
      </c>
      <c r="E71" s="2" t="s">
        <v>28</v>
      </c>
      <c r="F71" s="2" t="s">
        <v>29</v>
      </c>
      <c r="G71" s="2" t="s">
        <v>30</v>
      </c>
      <c r="H71" s="2" t="s">
        <v>31</v>
      </c>
      <c r="I71" s="2"/>
      <c r="J71" s="3">
        <v>23</v>
      </c>
      <c r="K71" s="2" t="s">
        <v>200</v>
      </c>
      <c r="L71" s="2" t="s">
        <v>201</v>
      </c>
      <c r="M71" s="2" t="s">
        <v>202</v>
      </c>
      <c r="N71" s="2" t="s">
        <v>35</v>
      </c>
      <c r="O71" s="2" t="s">
        <v>36</v>
      </c>
      <c r="P71" s="2" t="s">
        <v>44</v>
      </c>
      <c r="Q71" s="4">
        <v>15000</v>
      </c>
      <c r="R71" s="2" t="s">
        <v>38</v>
      </c>
      <c r="S71" s="4">
        <v>15000</v>
      </c>
      <c r="T71" s="2" t="s">
        <v>39</v>
      </c>
      <c r="U71" s="2" t="s">
        <v>40</v>
      </c>
      <c r="V71" s="2" t="s">
        <v>44</v>
      </c>
      <c r="W71" s="3">
        <v>0</v>
      </c>
      <c r="X71" s="3">
        <v>0</v>
      </c>
      <c r="Y71" s="2"/>
      <c r="Z71" s="3">
        <v>0</v>
      </c>
      <c r="AA71" s="2"/>
    </row>
    <row r="72" spans="1:27" ht="16.5" customHeight="1" x14ac:dyDescent="0.25">
      <c r="A72" s="2" t="s">
        <v>150</v>
      </c>
      <c r="B72" s="2" t="s">
        <v>26</v>
      </c>
      <c r="C72" s="2" t="s">
        <v>27</v>
      </c>
      <c r="D72" s="2" t="s">
        <v>27</v>
      </c>
      <c r="E72" s="2" t="s">
        <v>28</v>
      </c>
      <c r="F72" s="2" t="s">
        <v>29</v>
      </c>
      <c r="G72" s="2" t="s">
        <v>30</v>
      </c>
      <c r="H72" s="2" t="s">
        <v>31</v>
      </c>
      <c r="I72" s="2"/>
      <c r="J72" s="3">
        <v>24</v>
      </c>
      <c r="K72" s="2" t="s">
        <v>203</v>
      </c>
      <c r="L72" s="2" t="s">
        <v>53</v>
      </c>
      <c r="M72" s="2" t="s">
        <v>204</v>
      </c>
      <c r="N72" s="2" t="s">
        <v>35</v>
      </c>
      <c r="O72" s="2" t="s">
        <v>36</v>
      </c>
      <c r="P72" s="2" t="s">
        <v>58</v>
      </c>
      <c r="Q72" s="4">
        <v>5000</v>
      </c>
      <c r="R72" s="2" t="s">
        <v>38</v>
      </c>
      <c r="S72" s="4">
        <v>5000</v>
      </c>
      <c r="T72" s="2" t="s">
        <v>39</v>
      </c>
      <c r="U72" s="2" t="s">
        <v>40</v>
      </c>
      <c r="V72" s="2" t="s">
        <v>58</v>
      </c>
      <c r="W72" s="3">
        <v>0</v>
      </c>
      <c r="X72" s="3">
        <v>0</v>
      </c>
      <c r="Y72" s="2"/>
      <c r="Z72" s="3">
        <v>0</v>
      </c>
      <c r="AA72" s="2"/>
    </row>
    <row r="73" spans="1:27" ht="16.5" customHeight="1" x14ac:dyDescent="0.25">
      <c r="A73" s="2" t="s">
        <v>150</v>
      </c>
      <c r="B73" s="2" t="s">
        <v>26</v>
      </c>
      <c r="C73" s="2" t="s">
        <v>27</v>
      </c>
      <c r="D73" s="2" t="s">
        <v>27</v>
      </c>
      <c r="E73" s="2" t="s">
        <v>28</v>
      </c>
      <c r="F73" s="2" t="s">
        <v>29</v>
      </c>
      <c r="G73" s="2" t="s">
        <v>30</v>
      </c>
      <c r="H73" s="2" t="s">
        <v>31</v>
      </c>
      <c r="I73" s="2"/>
      <c r="J73" s="3">
        <v>25</v>
      </c>
      <c r="K73" s="2" t="s">
        <v>205</v>
      </c>
      <c r="L73" s="2" t="s">
        <v>33</v>
      </c>
      <c r="M73" s="2" t="s">
        <v>206</v>
      </c>
      <c r="N73" s="2" t="s">
        <v>35</v>
      </c>
      <c r="O73" s="2" t="s">
        <v>36</v>
      </c>
      <c r="P73" s="2" t="s">
        <v>37</v>
      </c>
      <c r="Q73" s="4">
        <v>16000</v>
      </c>
      <c r="R73" s="2" t="s">
        <v>38</v>
      </c>
      <c r="S73" s="4">
        <v>16000</v>
      </c>
      <c r="T73" s="2" t="s">
        <v>39</v>
      </c>
      <c r="U73" s="2" t="s">
        <v>40</v>
      </c>
      <c r="V73" s="2" t="s">
        <v>37</v>
      </c>
      <c r="W73" s="3">
        <v>0</v>
      </c>
      <c r="X73" s="3">
        <v>0</v>
      </c>
      <c r="Y73" s="2"/>
      <c r="Z73" s="3">
        <v>0</v>
      </c>
      <c r="AA73" s="2"/>
    </row>
    <row r="74" spans="1:27" ht="16.5" customHeight="1" x14ac:dyDescent="0.25">
      <c r="A74" s="2" t="s">
        <v>150</v>
      </c>
      <c r="B74" s="2" t="s">
        <v>26</v>
      </c>
      <c r="C74" s="2" t="s">
        <v>27</v>
      </c>
      <c r="D74" s="2" t="s">
        <v>27</v>
      </c>
      <c r="E74" s="2" t="s">
        <v>28</v>
      </c>
      <c r="F74" s="2" t="s">
        <v>29</v>
      </c>
      <c r="G74" s="2" t="s">
        <v>30</v>
      </c>
      <c r="H74" s="2" t="s">
        <v>31</v>
      </c>
      <c r="I74" s="2"/>
      <c r="J74" s="3">
        <v>26</v>
      </c>
      <c r="K74" s="2" t="s">
        <v>207</v>
      </c>
      <c r="L74" s="2" t="s">
        <v>53</v>
      </c>
      <c r="M74" s="2" t="s">
        <v>208</v>
      </c>
      <c r="N74" s="2" t="s">
        <v>35</v>
      </c>
      <c r="O74" s="2" t="s">
        <v>36</v>
      </c>
      <c r="P74" s="2" t="s">
        <v>44</v>
      </c>
      <c r="Q74" s="4">
        <v>5000</v>
      </c>
      <c r="R74" s="2" t="s">
        <v>38</v>
      </c>
      <c r="S74" s="4">
        <v>5000</v>
      </c>
      <c r="T74" s="2" t="s">
        <v>39</v>
      </c>
      <c r="U74" s="2" t="s">
        <v>40</v>
      </c>
      <c r="V74" s="2" t="s">
        <v>44</v>
      </c>
      <c r="W74" s="3">
        <v>0</v>
      </c>
      <c r="X74" s="3">
        <v>0</v>
      </c>
      <c r="Y74" s="2"/>
      <c r="Z74" s="3">
        <v>0</v>
      </c>
      <c r="AA74" s="2"/>
    </row>
    <row r="75" spans="1:27" ht="16.5" customHeight="1" x14ac:dyDescent="0.25">
      <c r="A75" s="2" t="s">
        <v>150</v>
      </c>
      <c r="B75" s="2" t="s">
        <v>26</v>
      </c>
      <c r="C75" s="2" t="s">
        <v>27</v>
      </c>
      <c r="D75" s="2" t="s">
        <v>27</v>
      </c>
      <c r="E75" s="2" t="s">
        <v>28</v>
      </c>
      <c r="F75" s="2" t="s">
        <v>29</v>
      </c>
      <c r="G75" s="2" t="s">
        <v>30</v>
      </c>
      <c r="H75" s="2" t="s">
        <v>31</v>
      </c>
      <c r="I75" s="2"/>
      <c r="J75" s="3">
        <v>27</v>
      </c>
      <c r="K75" s="2" t="s">
        <v>209</v>
      </c>
      <c r="L75" s="2" t="s">
        <v>53</v>
      </c>
      <c r="M75" s="2" t="s">
        <v>210</v>
      </c>
      <c r="N75" s="2" t="s">
        <v>35</v>
      </c>
      <c r="O75" s="2" t="s">
        <v>36</v>
      </c>
      <c r="P75" s="2" t="s">
        <v>44</v>
      </c>
      <c r="Q75" s="4">
        <v>10000</v>
      </c>
      <c r="R75" s="2" t="s">
        <v>38</v>
      </c>
      <c r="S75" s="4">
        <v>10000</v>
      </c>
      <c r="T75" s="2" t="s">
        <v>39</v>
      </c>
      <c r="U75" s="2" t="s">
        <v>40</v>
      </c>
      <c r="V75" s="2" t="s">
        <v>44</v>
      </c>
      <c r="W75" s="3">
        <v>0</v>
      </c>
      <c r="X75" s="3">
        <v>0</v>
      </c>
      <c r="Y75" s="2"/>
      <c r="Z75" s="3">
        <v>0</v>
      </c>
      <c r="AA75" s="2"/>
    </row>
    <row r="76" spans="1:27" ht="16.5" customHeight="1" x14ac:dyDescent="0.25">
      <c r="A76" s="2" t="s">
        <v>150</v>
      </c>
      <c r="B76" s="2" t="s">
        <v>26</v>
      </c>
      <c r="C76" s="2" t="s">
        <v>27</v>
      </c>
      <c r="D76" s="2" t="s">
        <v>27</v>
      </c>
      <c r="E76" s="2" t="s">
        <v>28</v>
      </c>
      <c r="F76" s="2" t="s">
        <v>29</v>
      </c>
      <c r="G76" s="2" t="s">
        <v>30</v>
      </c>
      <c r="H76" s="2" t="s">
        <v>31</v>
      </c>
      <c r="I76" s="2"/>
      <c r="J76" s="3">
        <v>28</v>
      </c>
      <c r="K76" s="2" t="s">
        <v>211</v>
      </c>
      <c r="L76" s="2" t="s">
        <v>53</v>
      </c>
      <c r="M76" s="2" t="s">
        <v>212</v>
      </c>
      <c r="N76" s="2" t="s">
        <v>35</v>
      </c>
      <c r="O76" s="2" t="s">
        <v>36</v>
      </c>
      <c r="P76" s="2" t="s">
        <v>58</v>
      </c>
      <c r="Q76" s="4">
        <v>50000</v>
      </c>
      <c r="R76" s="2" t="s">
        <v>38</v>
      </c>
      <c r="S76" s="4">
        <v>50000</v>
      </c>
      <c r="T76" s="2" t="s">
        <v>39</v>
      </c>
      <c r="U76" s="2" t="s">
        <v>40</v>
      </c>
      <c r="V76" s="2" t="s">
        <v>58</v>
      </c>
      <c r="W76" s="3">
        <v>0</v>
      </c>
      <c r="X76" s="3">
        <v>0</v>
      </c>
      <c r="Y76" s="2"/>
      <c r="Z76" s="3">
        <v>0</v>
      </c>
      <c r="AA76" s="2"/>
    </row>
    <row r="77" spans="1:27" ht="16.5" customHeight="1" x14ac:dyDescent="0.25">
      <c r="A77" s="2" t="s">
        <v>150</v>
      </c>
      <c r="B77" s="2" t="s">
        <v>26</v>
      </c>
      <c r="C77" s="2" t="s">
        <v>27</v>
      </c>
      <c r="D77" s="2" t="s">
        <v>27</v>
      </c>
      <c r="E77" s="2" t="s">
        <v>28</v>
      </c>
      <c r="F77" s="2" t="s">
        <v>29</v>
      </c>
      <c r="G77" s="2" t="s">
        <v>30</v>
      </c>
      <c r="H77" s="2" t="s">
        <v>31</v>
      </c>
      <c r="I77" s="2"/>
      <c r="J77" s="3">
        <v>29</v>
      </c>
      <c r="K77" s="2" t="s">
        <v>213</v>
      </c>
      <c r="L77" s="2" t="s">
        <v>53</v>
      </c>
      <c r="M77" s="2" t="s">
        <v>214</v>
      </c>
      <c r="N77" s="2" t="s">
        <v>35</v>
      </c>
      <c r="O77" s="2" t="s">
        <v>36</v>
      </c>
      <c r="P77" s="2" t="s">
        <v>58</v>
      </c>
      <c r="Q77" s="4">
        <v>15000</v>
      </c>
      <c r="R77" s="2" t="s">
        <v>38</v>
      </c>
      <c r="S77" s="4">
        <v>15000</v>
      </c>
      <c r="T77" s="2" t="s">
        <v>39</v>
      </c>
      <c r="U77" s="2" t="s">
        <v>40</v>
      </c>
      <c r="V77" s="2" t="s">
        <v>58</v>
      </c>
      <c r="W77" s="3">
        <v>0</v>
      </c>
      <c r="X77" s="3">
        <v>0</v>
      </c>
      <c r="Y77" s="2"/>
      <c r="Z77" s="3">
        <v>0</v>
      </c>
      <c r="AA77" s="2"/>
    </row>
    <row r="78" spans="1:27" ht="16.5" customHeight="1" x14ac:dyDescent="0.25">
      <c r="A78" s="2" t="s">
        <v>150</v>
      </c>
      <c r="B78" s="2" t="s">
        <v>26</v>
      </c>
      <c r="C78" s="2" t="s">
        <v>27</v>
      </c>
      <c r="D78" s="2" t="s">
        <v>27</v>
      </c>
      <c r="E78" s="2" t="s">
        <v>28</v>
      </c>
      <c r="F78" s="2" t="s">
        <v>29</v>
      </c>
      <c r="G78" s="2" t="s">
        <v>30</v>
      </c>
      <c r="H78" s="2" t="s">
        <v>31</v>
      </c>
      <c r="I78" s="2"/>
      <c r="J78" s="3">
        <v>30</v>
      </c>
      <c r="K78" s="2" t="s">
        <v>215</v>
      </c>
      <c r="L78" s="2" t="s">
        <v>53</v>
      </c>
      <c r="M78" s="2" t="s">
        <v>216</v>
      </c>
      <c r="N78" s="2" t="s">
        <v>35</v>
      </c>
      <c r="O78" s="2" t="s">
        <v>36</v>
      </c>
      <c r="P78" s="2" t="s">
        <v>44</v>
      </c>
      <c r="Q78" s="4">
        <v>15000</v>
      </c>
      <c r="R78" s="2" t="s">
        <v>38</v>
      </c>
      <c r="S78" s="4">
        <v>15000</v>
      </c>
      <c r="T78" s="2" t="s">
        <v>39</v>
      </c>
      <c r="U78" s="2" t="s">
        <v>40</v>
      </c>
      <c r="V78" s="2" t="s">
        <v>44</v>
      </c>
      <c r="W78" s="3">
        <v>0</v>
      </c>
      <c r="X78" s="3">
        <v>0</v>
      </c>
      <c r="Y78" s="2"/>
      <c r="Z78" s="3">
        <v>0</v>
      </c>
      <c r="AA78" s="2"/>
    </row>
    <row r="79" spans="1:27" ht="16.5" customHeight="1" x14ac:dyDescent="0.25">
      <c r="A79" s="2" t="s">
        <v>150</v>
      </c>
      <c r="B79" s="2" t="s">
        <v>26</v>
      </c>
      <c r="C79" s="2" t="s">
        <v>27</v>
      </c>
      <c r="D79" s="2" t="s">
        <v>27</v>
      </c>
      <c r="E79" s="2" t="s">
        <v>28</v>
      </c>
      <c r="F79" s="2" t="s">
        <v>29</v>
      </c>
      <c r="G79" s="2" t="s">
        <v>30</v>
      </c>
      <c r="H79" s="2" t="s">
        <v>31</v>
      </c>
      <c r="I79" s="2"/>
      <c r="J79" s="3">
        <v>31</v>
      </c>
      <c r="K79" s="2" t="s">
        <v>217</v>
      </c>
      <c r="L79" s="2" t="s">
        <v>218</v>
      </c>
      <c r="M79" s="2" t="s">
        <v>219</v>
      </c>
      <c r="N79" s="2" t="s">
        <v>35</v>
      </c>
      <c r="O79" s="2" t="s">
        <v>36</v>
      </c>
      <c r="P79" s="2" t="s">
        <v>44</v>
      </c>
      <c r="Q79" s="4">
        <v>6000</v>
      </c>
      <c r="R79" s="2" t="s">
        <v>38</v>
      </c>
      <c r="S79" s="4">
        <v>6000</v>
      </c>
      <c r="T79" s="2" t="s">
        <v>39</v>
      </c>
      <c r="U79" s="2" t="s">
        <v>40</v>
      </c>
      <c r="V79" s="2" t="s">
        <v>44</v>
      </c>
      <c r="W79" s="3">
        <v>0</v>
      </c>
      <c r="X79" s="3">
        <v>0</v>
      </c>
      <c r="Y79" s="2"/>
      <c r="Z79" s="3">
        <v>0</v>
      </c>
      <c r="AA79" s="2"/>
    </row>
    <row r="80" spans="1:27" ht="16.5" customHeight="1" x14ac:dyDescent="0.25">
      <c r="A80" s="2" t="s">
        <v>150</v>
      </c>
      <c r="B80" s="2" t="s">
        <v>26</v>
      </c>
      <c r="C80" s="2" t="s">
        <v>27</v>
      </c>
      <c r="D80" s="2" t="s">
        <v>27</v>
      </c>
      <c r="E80" s="2" t="s">
        <v>28</v>
      </c>
      <c r="F80" s="2" t="s">
        <v>29</v>
      </c>
      <c r="G80" s="2" t="s">
        <v>30</v>
      </c>
      <c r="H80" s="2" t="s">
        <v>31</v>
      </c>
      <c r="I80" s="2"/>
      <c r="J80" s="3">
        <v>32</v>
      </c>
      <c r="K80" s="2" t="s">
        <v>153</v>
      </c>
      <c r="L80" s="2" t="s">
        <v>53</v>
      </c>
      <c r="M80" s="2" t="s">
        <v>154</v>
      </c>
      <c r="N80" s="2" t="s">
        <v>35</v>
      </c>
      <c r="O80" s="2" t="s">
        <v>36</v>
      </c>
      <c r="P80" s="2" t="s">
        <v>58</v>
      </c>
      <c r="Q80" s="4">
        <v>15000</v>
      </c>
      <c r="R80" s="2" t="s">
        <v>38</v>
      </c>
      <c r="S80" s="4">
        <v>15000</v>
      </c>
      <c r="T80" s="2" t="s">
        <v>39</v>
      </c>
      <c r="U80" s="2" t="s">
        <v>40</v>
      </c>
      <c r="V80" s="2" t="s">
        <v>58</v>
      </c>
      <c r="W80" s="3">
        <v>0</v>
      </c>
      <c r="X80" s="3">
        <v>0</v>
      </c>
      <c r="Y80" s="2"/>
      <c r="Z80" s="3">
        <v>0</v>
      </c>
      <c r="AA80" s="2"/>
    </row>
    <row r="81" spans="1:27" ht="16.5" customHeight="1" x14ac:dyDescent="0.25">
      <c r="A81" s="2" t="s">
        <v>150</v>
      </c>
      <c r="B81" s="2" t="s">
        <v>26</v>
      </c>
      <c r="C81" s="2" t="s">
        <v>27</v>
      </c>
      <c r="D81" s="2" t="s">
        <v>27</v>
      </c>
      <c r="E81" s="2" t="s">
        <v>28</v>
      </c>
      <c r="F81" s="2" t="s">
        <v>29</v>
      </c>
      <c r="G81" s="2" t="s">
        <v>30</v>
      </c>
      <c r="H81" s="2" t="s">
        <v>31</v>
      </c>
      <c r="I81" s="2"/>
      <c r="J81" s="3">
        <v>33</v>
      </c>
      <c r="K81" s="2" t="s">
        <v>191</v>
      </c>
      <c r="L81" s="2" t="s">
        <v>53</v>
      </c>
      <c r="M81" s="2" t="s">
        <v>192</v>
      </c>
      <c r="N81" s="2" t="s">
        <v>35</v>
      </c>
      <c r="O81" s="2" t="s">
        <v>36</v>
      </c>
      <c r="P81" s="2" t="s">
        <v>58</v>
      </c>
      <c r="Q81" s="4">
        <v>5000</v>
      </c>
      <c r="R81" s="2" t="s">
        <v>38</v>
      </c>
      <c r="S81" s="4">
        <v>5000</v>
      </c>
      <c r="T81" s="2" t="s">
        <v>39</v>
      </c>
      <c r="U81" s="2" t="s">
        <v>40</v>
      </c>
      <c r="V81" s="2" t="s">
        <v>58</v>
      </c>
      <c r="W81" s="3">
        <v>0</v>
      </c>
      <c r="X81" s="3">
        <v>0</v>
      </c>
      <c r="Y81" s="2"/>
      <c r="Z81" s="3">
        <v>0</v>
      </c>
      <c r="AA81" s="2"/>
    </row>
    <row r="82" spans="1:27" ht="16.5" customHeight="1" x14ac:dyDescent="0.25">
      <c r="A82" s="2" t="s">
        <v>150</v>
      </c>
      <c r="B82" s="2" t="s">
        <v>26</v>
      </c>
      <c r="C82" s="2" t="s">
        <v>27</v>
      </c>
      <c r="D82" s="2" t="s">
        <v>27</v>
      </c>
      <c r="E82" s="2" t="s">
        <v>28</v>
      </c>
      <c r="F82" s="2" t="s">
        <v>29</v>
      </c>
      <c r="G82" s="2" t="s">
        <v>30</v>
      </c>
      <c r="H82" s="2" t="s">
        <v>31</v>
      </c>
      <c r="I82" s="2"/>
      <c r="J82" s="3">
        <v>34</v>
      </c>
      <c r="K82" s="2" t="s">
        <v>203</v>
      </c>
      <c r="L82" s="2" t="s">
        <v>53</v>
      </c>
      <c r="M82" s="2" t="s">
        <v>204</v>
      </c>
      <c r="N82" s="2" t="s">
        <v>35</v>
      </c>
      <c r="O82" s="2" t="s">
        <v>36</v>
      </c>
      <c r="P82" s="2" t="s">
        <v>44</v>
      </c>
      <c r="Q82" s="4">
        <v>5000</v>
      </c>
      <c r="R82" s="2" t="s">
        <v>38</v>
      </c>
      <c r="S82" s="4">
        <v>5000</v>
      </c>
      <c r="T82" s="2" t="s">
        <v>39</v>
      </c>
      <c r="U82" s="2" t="s">
        <v>40</v>
      </c>
      <c r="V82" s="2" t="s">
        <v>44</v>
      </c>
      <c r="W82" s="3">
        <v>0</v>
      </c>
      <c r="X82" s="3">
        <v>0</v>
      </c>
      <c r="Y82" s="2"/>
      <c r="Z82" s="3">
        <v>0</v>
      </c>
      <c r="AA82" s="2"/>
    </row>
    <row r="83" spans="1:27" ht="16.5" customHeight="1" x14ac:dyDescent="0.25">
      <c r="A83" s="2" t="s">
        <v>220</v>
      </c>
      <c r="B83" s="2" t="s">
        <v>26</v>
      </c>
      <c r="C83" s="2" t="s">
        <v>27</v>
      </c>
      <c r="D83" s="2" t="s">
        <v>27</v>
      </c>
      <c r="E83" s="2" t="s">
        <v>28</v>
      </c>
      <c r="F83" s="2" t="s">
        <v>29</v>
      </c>
      <c r="G83" s="2" t="s">
        <v>30</v>
      </c>
      <c r="H83" s="2" t="s">
        <v>31</v>
      </c>
      <c r="I83" s="2"/>
      <c r="J83" s="3">
        <v>1</v>
      </c>
      <c r="K83" s="2" t="s">
        <v>221</v>
      </c>
      <c r="L83" s="2" t="s">
        <v>33</v>
      </c>
      <c r="M83" s="2" t="s">
        <v>222</v>
      </c>
      <c r="N83" s="2" t="s">
        <v>35</v>
      </c>
      <c r="O83" s="2" t="s">
        <v>36</v>
      </c>
      <c r="P83" s="2" t="s">
        <v>37</v>
      </c>
      <c r="Q83" s="4">
        <v>48000</v>
      </c>
      <c r="R83" s="2" t="s">
        <v>38</v>
      </c>
      <c r="S83" s="4">
        <v>48000</v>
      </c>
      <c r="T83" s="2" t="s">
        <v>39</v>
      </c>
      <c r="U83" s="2" t="s">
        <v>40</v>
      </c>
      <c r="V83" s="2" t="s">
        <v>37</v>
      </c>
      <c r="W83" s="3">
        <v>0</v>
      </c>
      <c r="X83" s="3">
        <v>0</v>
      </c>
      <c r="Y83" s="2"/>
      <c r="Z83" s="3">
        <v>0</v>
      </c>
      <c r="AA83" s="2"/>
    </row>
    <row r="84" spans="1:27" ht="16.5" customHeight="1" x14ac:dyDescent="0.25">
      <c r="A84" s="2" t="s">
        <v>220</v>
      </c>
      <c r="B84" s="2" t="s">
        <v>26</v>
      </c>
      <c r="C84" s="2" t="s">
        <v>27</v>
      </c>
      <c r="D84" s="2" t="s">
        <v>27</v>
      </c>
      <c r="E84" s="2" t="s">
        <v>28</v>
      </c>
      <c r="F84" s="2" t="s">
        <v>29</v>
      </c>
      <c r="G84" s="2" t="s">
        <v>30</v>
      </c>
      <c r="H84" s="2" t="s">
        <v>31</v>
      </c>
      <c r="I84" s="2"/>
      <c r="J84" s="3">
        <v>2</v>
      </c>
      <c r="K84" s="2" t="s">
        <v>223</v>
      </c>
      <c r="L84" s="2" t="s">
        <v>33</v>
      </c>
      <c r="M84" s="2" t="s">
        <v>224</v>
      </c>
      <c r="N84" s="2" t="s">
        <v>35</v>
      </c>
      <c r="O84" s="2" t="s">
        <v>36</v>
      </c>
      <c r="P84" s="2" t="s">
        <v>37</v>
      </c>
      <c r="Q84" s="4">
        <v>8000</v>
      </c>
      <c r="R84" s="2" t="s">
        <v>38</v>
      </c>
      <c r="S84" s="4">
        <v>8000</v>
      </c>
      <c r="T84" s="2" t="s">
        <v>39</v>
      </c>
      <c r="U84" s="2" t="s">
        <v>40</v>
      </c>
      <c r="V84" s="2" t="s">
        <v>37</v>
      </c>
      <c r="W84" s="3">
        <v>0</v>
      </c>
      <c r="X84" s="3">
        <v>0</v>
      </c>
      <c r="Y84" s="2"/>
      <c r="Z84" s="3">
        <v>0</v>
      </c>
      <c r="AA84" s="2"/>
    </row>
    <row r="85" spans="1:27" ht="16.5" customHeight="1" x14ac:dyDescent="0.25">
      <c r="A85" s="2" t="s">
        <v>220</v>
      </c>
      <c r="B85" s="2" t="s">
        <v>26</v>
      </c>
      <c r="C85" s="2" t="s">
        <v>27</v>
      </c>
      <c r="D85" s="2" t="s">
        <v>27</v>
      </c>
      <c r="E85" s="2" t="s">
        <v>28</v>
      </c>
      <c r="F85" s="2" t="s">
        <v>29</v>
      </c>
      <c r="G85" s="2" t="s">
        <v>30</v>
      </c>
      <c r="H85" s="2" t="s">
        <v>31</v>
      </c>
      <c r="I85" s="2"/>
      <c r="J85" s="3">
        <v>3</v>
      </c>
      <c r="K85" s="2" t="s">
        <v>225</v>
      </c>
      <c r="L85" s="2" t="s">
        <v>53</v>
      </c>
      <c r="M85" s="2" t="s">
        <v>226</v>
      </c>
      <c r="N85" s="2" t="s">
        <v>35</v>
      </c>
      <c r="O85" s="2" t="s">
        <v>36</v>
      </c>
      <c r="P85" s="2" t="s">
        <v>44</v>
      </c>
      <c r="Q85" s="4">
        <v>20000</v>
      </c>
      <c r="R85" s="2" t="s">
        <v>38</v>
      </c>
      <c r="S85" s="4">
        <v>20000</v>
      </c>
      <c r="T85" s="2" t="s">
        <v>39</v>
      </c>
      <c r="U85" s="2" t="s">
        <v>40</v>
      </c>
      <c r="V85" s="2" t="s">
        <v>44</v>
      </c>
      <c r="W85" s="3">
        <v>0</v>
      </c>
      <c r="X85" s="3">
        <v>0</v>
      </c>
      <c r="Y85" s="2"/>
      <c r="Z85" s="3">
        <v>0</v>
      </c>
      <c r="AA85" s="2"/>
    </row>
    <row r="86" spans="1:27" ht="16.5" customHeight="1" x14ac:dyDescent="0.25">
      <c r="A86" s="2" t="s">
        <v>220</v>
      </c>
      <c r="B86" s="2" t="s">
        <v>26</v>
      </c>
      <c r="C86" s="2" t="s">
        <v>27</v>
      </c>
      <c r="D86" s="2" t="s">
        <v>27</v>
      </c>
      <c r="E86" s="2" t="s">
        <v>28</v>
      </c>
      <c r="F86" s="2" t="s">
        <v>29</v>
      </c>
      <c r="G86" s="2" t="s">
        <v>30</v>
      </c>
      <c r="H86" s="2" t="s">
        <v>31</v>
      </c>
      <c r="I86" s="2"/>
      <c r="J86" s="3">
        <v>4</v>
      </c>
      <c r="K86" s="2" t="s">
        <v>227</v>
      </c>
      <c r="L86" s="2" t="s">
        <v>53</v>
      </c>
      <c r="M86" s="2" t="s">
        <v>228</v>
      </c>
      <c r="N86" s="2" t="s">
        <v>35</v>
      </c>
      <c r="O86" s="2" t="s">
        <v>36</v>
      </c>
      <c r="P86" s="2" t="s">
        <v>58</v>
      </c>
      <c r="Q86" s="4">
        <v>15000</v>
      </c>
      <c r="R86" s="2" t="s">
        <v>38</v>
      </c>
      <c r="S86" s="4">
        <v>15000</v>
      </c>
      <c r="T86" s="2" t="s">
        <v>39</v>
      </c>
      <c r="U86" s="2" t="s">
        <v>40</v>
      </c>
      <c r="V86" s="2" t="s">
        <v>58</v>
      </c>
      <c r="W86" s="3">
        <v>0</v>
      </c>
      <c r="X86" s="3">
        <v>0</v>
      </c>
      <c r="Y86" s="2"/>
      <c r="Z86" s="3">
        <v>0</v>
      </c>
      <c r="AA86" s="2"/>
    </row>
    <row r="87" spans="1:27" ht="16.5" customHeight="1" x14ac:dyDescent="0.25">
      <c r="A87" s="2" t="s">
        <v>220</v>
      </c>
      <c r="B87" s="2" t="s">
        <v>26</v>
      </c>
      <c r="C87" s="2" t="s">
        <v>27</v>
      </c>
      <c r="D87" s="2" t="s">
        <v>27</v>
      </c>
      <c r="E87" s="2" t="s">
        <v>28</v>
      </c>
      <c r="F87" s="2" t="s">
        <v>29</v>
      </c>
      <c r="G87" s="2" t="s">
        <v>30</v>
      </c>
      <c r="H87" s="2" t="s">
        <v>31</v>
      </c>
      <c r="I87" s="2"/>
      <c r="J87" s="3">
        <v>5</v>
      </c>
      <c r="K87" s="2" t="s">
        <v>229</v>
      </c>
      <c r="L87" s="2" t="s">
        <v>53</v>
      </c>
      <c r="M87" s="2" t="s">
        <v>230</v>
      </c>
      <c r="N87" s="2" t="s">
        <v>35</v>
      </c>
      <c r="O87" s="2" t="s">
        <v>36</v>
      </c>
      <c r="P87" s="2" t="s">
        <v>58</v>
      </c>
      <c r="Q87" s="4">
        <v>15000</v>
      </c>
      <c r="R87" s="2" t="s">
        <v>38</v>
      </c>
      <c r="S87" s="4">
        <v>15000</v>
      </c>
      <c r="T87" s="2" t="s">
        <v>39</v>
      </c>
      <c r="U87" s="2" t="s">
        <v>40</v>
      </c>
      <c r="V87" s="2" t="s">
        <v>58</v>
      </c>
      <c r="W87" s="3">
        <v>0</v>
      </c>
      <c r="X87" s="3">
        <v>0</v>
      </c>
      <c r="Y87" s="2"/>
      <c r="Z87" s="3">
        <v>0</v>
      </c>
      <c r="AA87" s="2"/>
    </row>
    <row r="88" spans="1:27" ht="16.5" customHeight="1" x14ac:dyDescent="0.25">
      <c r="A88" s="2" t="s">
        <v>220</v>
      </c>
      <c r="B88" s="2" t="s">
        <v>26</v>
      </c>
      <c r="C88" s="2" t="s">
        <v>27</v>
      </c>
      <c r="D88" s="2" t="s">
        <v>27</v>
      </c>
      <c r="E88" s="2" t="s">
        <v>28</v>
      </c>
      <c r="F88" s="2" t="s">
        <v>29</v>
      </c>
      <c r="G88" s="2" t="s">
        <v>30</v>
      </c>
      <c r="H88" s="2" t="s">
        <v>31</v>
      </c>
      <c r="I88" s="2"/>
      <c r="J88" s="3">
        <v>6</v>
      </c>
      <c r="K88" s="2" t="s">
        <v>231</v>
      </c>
      <c r="L88" s="2" t="s">
        <v>33</v>
      </c>
      <c r="M88" s="2" t="s">
        <v>232</v>
      </c>
      <c r="N88" s="2" t="s">
        <v>35</v>
      </c>
      <c r="O88" s="2" t="s">
        <v>36</v>
      </c>
      <c r="P88" s="2" t="s">
        <v>233</v>
      </c>
      <c r="Q88" s="4">
        <v>3000</v>
      </c>
      <c r="R88" s="2" t="s">
        <v>38</v>
      </c>
      <c r="S88" s="4">
        <v>3000</v>
      </c>
      <c r="T88" s="2" t="s">
        <v>39</v>
      </c>
      <c r="U88" s="2" t="s">
        <v>40</v>
      </c>
      <c r="V88" s="2" t="s">
        <v>233</v>
      </c>
      <c r="W88" s="3">
        <v>0</v>
      </c>
      <c r="X88" s="3">
        <v>0</v>
      </c>
      <c r="Y88" s="2"/>
      <c r="Z88" s="3">
        <v>0</v>
      </c>
      <c r="AA88" s="2"/>
    </row>
    <row r="89" spans="1:27" ht="16.5" customHeight="1" x14ac:dyDescent="0.25">
      <c r="A89" s="2" t="s">
        <v>220</v>
      </c>
      <c r="B89" s="2" t="s">
        <v>26</v>
      </c>
      <c r="C89" s="2" t="s">
        <v>27</v>
      </c>
      <c r="D89" s="2" t="s">
        <v>27</v>
      </c>
      <c r="E89" s="2" t="s">
        <v>28</v>
      </c>
      <c r="F89" s="2" t="s">
        <v>29</v>
      </c>
      <c r="G89" s="2" t="s">
        <v>30</v>
      </c>
      <c r="H89" s="2" t="s">
        <v>31</v>
      </c>
      <c r="I89" s="2"/>
      <c r="J89" s="3">
        <v>7</v>
      </c>
      <c r="K89" s="2" t="s">
        <v>234</v>
      </c>
      <c r="L89" s="2" t="s">
        <v>235</v>
      </c>
      <c r="M89" s="2" t="s">
        <v>236</v>
      </c>
      <c r="N89" s="2" t="s">
        <v>35</v>
      </c>
      <c r="O89" s="2" t="s">
        <v>36</v>
      </c>
      <c r="P89" s="2" t="s">
        <v>58</v>
      </c>
      <c r="Q89" s="4">
        <v>10000</v>
      </c>
      <c r="R89" s="2" t="s">
        <v>38</v>
      </c>
      <c r="S89" s="4">
        <v>10000</v>
      </c>
      <c r="T89" s="2" t="s">
        <v>39</v>
      </c>
      <c r="U89" s="2" t="s">
        <v>40</v>
      </c>
      <c r="V89" s="2" t="s">
        <v>58</v>
      </c>
      <c r="W89" s="3">
        <v>0</v>
      </c>
      <c r="X89" s="3">
        <v>0</v>
      </c>
      <c r="Y89" s="2"/>
      <c r="Z89" s="3">
        <v>0</v>
      </c>
      <c r="AA89" s="2"/>
    </row>
    <row r="90" spans="1:27" ht="16.5" customHeight="1" x14ac:dyDescent="0.25">
      <c r="A90" s="2" t="s">
        <v>220</v>
      </c>
      <c r="B90" s="2" t="s">
        <v>26</v>
      </c>
      <c r="C90" s="2" t="s">
        <v>27</v>
      </c>
      <c r="D90" s="2" t="s">
        <v>27</v>
      </c>
      <c r="E90" s="2" t="s">
        <v>28</v>
      </c>
      <c r="F90" s="2" t="s">
        <v>29</v>
      </c>
      <c r="G90" s="2" t="s">
        <v>30</v>
      </c>
      <c r="H90" s="2" t="s">
        <v>31</v>
      </c>
      <c r="I90" s="2"/>
      <c r="J90" s="3">
        <v>8</v>
      </c>
      <c r="K90" s="2" t="s">
        <v>237</v>
      </c>
      <c r="L90" s="2" t="s">
        <v>238</v>
      </c>
      <c r="M90" s="2" t="s">
        <v>239</v>
      </c>
      <c r="N90" s="2" t="s">
        <v>35</v>
      </c>
      <c r="O90" s="2" t="s">
        <v>36</v>
      </c>
      <c r="P90" s="2" t="s">
        <v>240</v>
      </c>
      <c r="Q90" s="4">
        <v>15000</v>
      </c>
      <c r="R90" s="2" t="s">
        <v>38</v>
      </c>
      <c r="S90" s="4">
        <v>15000</v>
      </c>
      <c r="T90" s="2" t="s">
        <v>39</v>
      </c>
      <c r="U90" s="2" t="s">
        <v>40</v>
      </c>
      <c r="V90" s="2" t="s">
        <v>240</v>
      </c>
      <c r="W90" s="3">
        <v>0</v>
      </c>
      <c r="X90" s="3">
        <v>0</v>
      </c>
      <c r="Y90" s="2"/>
      <c r="Z90" s="3">
        <v>0</v>
      </c>
      <c r="AA90" s="2"/>
    </row>
    <row r="91" spans="1:27" ht="16.5" customHeight="1" x14ac:dyDescent="0.25">
      <c r="A91" s="2" t="s">
        <v>220</v>
      </c>
      <c r="B91" s="2" t="s">
        <v>26</v>
      </c>
      <c r="C91" s="2" t="s">
        <v>27</v>
      </c>
      <c r="D91" s="2" t="s">
        <v>27</v>
      </c>
      <c r="E91" s="2" t="s">
        <v>28</v>
      </c>
      <c r="F91" s="2" t="s">
        <v>29</v>
      </c>
      <c r="G91" s="2" t="s">
        <v>30</v>
      </c>
      <c r="H91" s="2" t="s">
        <v>31</v>
      </c>
      <c r="I91" s="2"/>
      <c r="J91" s="3">
        <v>9</v>
      </c>
      <c r="K91" s="2" t="s">
        <v>241</v>
      </c>
      <c r="L91" s="2" t="s">
        <v>33</v>
      </c>
      <c r="M91" s="2" t="s">
        <v>242</v>
      </c>
      <c r="N91" s="2" t="s">
        <v>35</v>
      </c>
      <c r="O91" s="2" t="s">
        <v>36</v>
      </c>
      <c r="P91" s="2" t="s">
        <v>37</v>
      </c>
      <c r="Q91" s="4">
        <v>16000</v>
      </c>
      <c r="R91" s="2" t="s">
        <v>38</v>
      </c>
      <c r="S91" s="4">
        <v>16000</v>
      </c>
      <c r="T91" s="2" t="s">
        <v>39</v>
      </c>
      <c r="U91" s="2" t="s">
        <v>40</v>
      </c>
      <c r="V91" s="2" t="s">
        <v>37</v>
      </c>
      <c r="W91" s="3">
        <v>0</v>
      </c>
      <c r="X91" s="3">
        <v>0</v>
      </c>
      <c r="Y91" s="2"/>
      <c r="Z91" s="3">
        <v>0</v>
      </c>
      <c r="AA91" s="2"/>
    </row>
    <row r="92" spans="1:27" ht="16.5" customHeight="1" x14ac:dyDescent="0.25">
      <c r="A92" s="2" t="s">
        <v>220</v>
      </c>
      <c r="B92" s="2" t="s">
        <v>26</v>
      </c>
      <c r="C92" s="2" t="s">
        <v>27</v>
      </c>
      <c r="D92" s="2" t="s">
        <v>27</v>
      </c>
      <c r="E92" s="2" t="s">
        <v>28</v>
      </c>
      <c r="F92" s="2" t="s">
        <v>29</v>
      </c>
      <c r="G92" s="2" t="s">
        <v>30</v>
      </c>
      <c r="H92" s="2" t="s">
        <v>31</v>
      </c>
      <c r="I92" s="2"/>
      <c r="J92" s="3">
        <v>10</v>
      </c>
      <c r="K92" s="2" t="s">
        <v>243</v>
      </c>
      <c r="L92" s="2" t="s">
        <v>53</v>
      </c>
      <c r="M92" s="2" t="s">
        <v>244</v>
      </c>
      <c r="N92" s="2" t="s">
        <v>35</v>
      </c>
      <c r="O92" s="2" t="s">
        <v>36</v>
      </c>
      <c r="P92" s="2" t="s">
        <v>58</v>
      </c>
      <c r="Q92" s="4">
        <v>5000</v>
      </c>
      <c r="R92" s="2" t="s">
        <v>38</v>
      </c>
      <c r="S92" s="4">
        <v>5000</v>
      </c>
      <c r="T92" s="2" t="s">
        <v>39</v>
      </c>
      <c r="U92" s="2" t="s">
        <v>40</v>
      </c>
      <c r="V92" s="2" t="s">
        <v>58</v>
      </c>
      <c r="W92" s="3">
        <v>0</v>
      </c>
      <c r="X92" s="3">
        <v>0</v>
      </c>
      <c r="Y92" s="2"/>
      <c r="Z92" s="3">
        <v>0</v>
      </c>
      <c r="AA92" s="2"/>
    </row>
    <row r="93" spans="1:27" ht="16.5" customHeight="1" x14ac:dyDescent="0.25">
      <c r="A93" s="2" t="s">
        <v>220</v>
      </c>
      <c r="B93" s="2" t="s">
        <v>26</v>
      </c>
      <c r="C93" s="2" t="s">
        <v>27</v>
      </c>
      <c r="D93" s="2" t="s">
        <v>27</v>
      </c>
      <c r="E93" s="2" t="s">
        <v>28</v>
      </c>
      <c r="F93" s="2" t="s">
        <v>29</v>
      </c>
      <c r="G93" s="2" t="s">
        <v>30</v>
      </c>
      <c r="H93" s="2" t="s">
        <v>31</v>
      </c>
      <c r="I93" s="2"/>
      <c r="J93" s="3">
        <v>11</v>
      </c>
      <c r="K93" s="2" t="s">
        <v>245</v>
      </c>
      <c r="L93" s="2" t="s">
        <v>53</v>
      </c>
      <c r="M93" s="2" t="s">
        <v>246</v>
      </c>
      <c r="N93" s="2" t="s">
        <v>35</v>
      </c>
      <c r="O93" s="2" t="s">
        <v>36</v>
      </c>
      <c r="P93" s="2" t="s">
        <v>44</v>
      </c>
      <c r="Q93" s="4">
        <v>25000</v>
      </c>
      <c r="R93" s="2" t="s">
        <v>38</v>
      </c>
      <c r="S93" s="4">
        <v>25000</v>
      </c>
      <c r="T93" s="2" t="s">
        <v>39</v>
      </c>
      <c r="U93" s="2" t="s">
        <v>40</v>
      </c>
      <c r="V93" s="2" t="s">
        <v>44</v>
      </c>
      <c r="W93" s="3">
        <v>0</v>
      </c>
      <c r="X93" s="3">
        <v>0</v>
      </c>
      <c r="Y93" s="2"/>
      <c r="Z93" s="3">
        <v>0</v>
      </c>
      <c r="AA93" s="2"/>
    </row>
    <row r="94" spans="1:27" ht="16.5" customHeight="1" x14ac:dyDescent="0.25">
      <c r="A94" s="2" t="s">
        <v>220</v>
      </c>
      <c r="B94" s="2" t="s">
        <v>26</v>
      </c>
      <c r="C94" s="2" t="s">
        <v>27</v>
      </c>
      <c r="D94" s="2" t="s">
        <v>27</v>
      </c>
      <c r="E94" s="2" t="s">
        <v>28</v>
      </c>
      <c r="F94" s="2" t="s">
        <v>29</v>
      </c>
      <c r="G94" s="2" t="s">
        <v>30</v>
      </c>
      <c r="H94" s="2" t="s">
        <v>31</v>
      </c>
      <c r="I94" s="2"/>
      <c r="J94" s="3">
        <v>12</v>
      </c>
      <c r="K94" s="2" t="s">
        <v>247</v>
      </c>
      <c r="L94" s="2" t="s">
        <v>33</v>
      </c>
      <c r="M94" s="2" t="s">
        <v>248</v>
      </c>
      <c r="N94" s="2" t="s">
        <v>35</v>
      </c>
      <c r="O94" s="2" t="s">
        <v>36</v>
      </c>
      <c r="P94" s="2" t="s">
        <v>44</v>
      </c>
      <c r="Q94" s="4">
        <v>8000</v>
      </c>
      <c r="R94" s="2" t="s">
        <v>38</v>
      </c>
      <c r="S94" s="4">
        <v>8000</v>
      </c>
      <c r="T94" s="2" t="s">
        <v>39</v>
      </c>
      <c r="U94" s="2" t="s">
        <v>40</v>
      </c>
      <c r="V94" s="2" t="s">
        <v>44</v>
      </c>
      <c r="W94" s="3">
        <v>0</v>
      </c>
      <c r="X94" s="3">
        <v>0</v>
      </c>
      <c r="Y94" s="2"/>
      <c r="Z94" s="3">
        <v>0</v>
      </c>
      <c r="AA94" s="2"/>
    </row>
    <row r="95" spans="1:27" ht="16.5" customHeight="1" x14ac:dyDescent="0.25">
      <c r="A95" s="2" t="s">
        <v>220</v>
      </c>
      <c r="B95" s="2" t="s">
        <v>26</v>
      </c>
      <c r="C95" s="2" t="s">
        <v>27</v>
      </c>
      <c r="D95" s="2" t="s">
        <v>27</v>
      </c>
      <c r="E95" s="2" t="s">
        <v>28</v>
      </c>
      <c r="F95" s="2" t="s">
        <v>29</v>
      </c>
      <c r="G95" s="2" t="s">
        <v>30</v>
      </c>
      <c r="H95" s="2" t="s">
        <v>31</v>
      </c>
      <c r="I95" s="2"/>
      <c r="J95" s="3">
        <v>13</v>
      </c>
      <c r="K95" s="2" t="s">
        <v>249</v>
      </c>
      <c r="L95" s="2" t="s">
        <v>33</v>
      </c>
      <c r="M95" s="2" t="s">
        <v>250</v>
      </c>
      <c r="N95" s="2" t="s">
        <v>35</v>
      </c>
      <c r="O95" s="2" t="s">
        <v>36</v>
      </c>
      <c r="P95" s="2" t="s">
        <v>37</v>
      </c>
      <c r="Q95" s="4">
        <v>6000</v>
      </c>
      <c r="R95" s="2" t="s">
        <v>38</v>
      </c>
      <c r="S95" s="4">
        <v>6000</v>
      </c>
      <c r="T95" s="2" t="s">
        <v>39</v>
      </c>
      <c r="U95" s="2" t="s">
        <v>40</v>
      </c>
      <c r="V95" s="2" t="s">
        <v>37</v>
      </c>
      <c r="W95" s="3">
        <v>0</v>
      </c>
      <c r="X95" s="3">
        <v>0</v>
      </c>
      <c r="Y95" s="2"/>
      <c r="Z95" s="3">
        <v>0</v>
      </c>
      <c r="AA95" s="2"/>
    </row>
    <row r="96" spans="1:27" ht="16.5" customHeight="1" x14ac:dyDescent="0.25">
      <c r="A96" s="2" t="s">
        <v>220</v>
      </c>
      <c r="B96" s="2" t="s">
        <v>26</v>
      </c>
      <c r="C96" s="2" t="s">
        <v>27</v>
      </c>
      <c r="D96" s="2" t="s">
        <v>27</v>
      </c>
      <c r="E96" s="2" t="s">
        <v>28</v>
      </c>
      <c r="F96" s="2" t="s">
        <v>29</v>
      </c>
      <c r="G96" s="2" t="s">
        <v>30</v>
      </c>
      <c r="H96" s="2" t="s">
        <v>31</v>
      </c>
      <c r="I96" s="2"/>
      <c r="J96" s="3">
        <v>14</v>
      </c>
      <c r="K96" s="2" t="s">
        <v>251</v>
      </c>
      <c r="L96" s="2" t="s">
        <v>53</v>
      </c>
      <c r="M96" s="2" t="s">
        <v>252</v>
      </c>
      <c r="N96" s="2" t="s">
        <v>35</v>
      </c>
      <c r="O96" s="2" t="s">
        <v>36</v>
      </c>
      <c r="P96" s="2" t="s">
        <v>44</v>
      </c>
      <c r="Q96" s="4">
        <v>15000</v>
      </c>
      <c r="R96" s="2" t="s">
        <v>38</v>
      </c>
      <c r="S96" s="4">
        <v>15000</v>
      </c>
      <c r="T96" s="2" t="s">
        <v>39</v>
      </c>
      <c r="U96" s="2" t="s">
        <v>40</v>
      </c>
      <c r="V96" s="2" t="s">
        <v>44</v>
      </c>
      <c r="W96" s="3">
        <v>0</v>
      </c>
      <c r="X96" s="3">
        <v>0</v>
      </c>
      <c r="Y96" s="2"/>
      <c r="Z96" s="3">
        <v>0</v>
      </c>
      <c r="AA96" s="2"/>
    </row>
    <row r="97" spans="1:27" ht="16.5" customHeight="1" x14ac:dyDescent="0.25">
      <c r="A97" s="2" t="s">
        <v>220</v>
      </c>
      <c r="B97" s="2" t="s">
        <v>26</v>
      </c>
      <c r="C97" s="2" t="s">
        <v>27</v>
      </c>
      <c r="D97" s="2" t="s">
        <v>27</v>
      </c>
      <c r="E97" s="2" t="s">
        <v>28</v>
      </c>
      <c r="F97" s="2" t="s">
        <v>29</v>
      </c>
      <c r="G97" s="2" t="s">
        <v>30</v>
      </c>
      <c r="H97" s="2" t="s">
        <v>31</v>
      </c>
      <c r="I97" s="2"/>
      <c r="J97" s="3">
        <v>15</v>
      </c>
      <c r="K97" s="2" t="s">
        <v>253</v>
      </c>
      <c r="L97" s="2" t="s">
        <v>33</v>
      </c>
      <c r="M97" s="2" t="s">
        <v>254</v>
      </c>
      <c r="N97" s="2" t="s">
        <v>35</v>
      </c>
      <c r="O97" s="2" t="s">
        <v>36</v>
      </c>
      <c r="P97" s="2" t="s">
        <v>44</v>
      </c>
      <c r="Q97" s="4">
        <v>8000</v>
      </c>
      <c r="R97" s="2" t="s">
        <v>38</v>
      </c>
      <c r="S97" s="4">
        <v>8000</v>
      </c>
      <c r="T97" s="2" t="s">
        <v>39</v>
      </c>
      <c r="U97" s="2" t="s">
        <v>40</v>
      </c>
      <c r="V97" s="2" t="s">
        <v>44</v>
      </c>
      <c r="W97" s="3">
        <v>0</v>
      </c>
      <c r="X97" s="3">
        <v>0</v>
      </c>
      <c r="Y97" s="2"/>
      <c r="Z97" s="3">
        <v>0</v>
      </c>
      <c r="AA97" s="2"/>
    </row>
    <row r="98" spans="1:27" ht="16.5" customHeight="1" x14ac:dyDescent="0.25">
      <c r="A98" s="2" t="s">
        <v>220</v>
      </c>
      <c r="B98" s="2" t="s">
        <v>26</v>
      </c>
      <c r="C98" s="2" t="s">
        <v>27</v>
      </c>
      <c r="D98" s="2" t="s">
        <v>27</v>
      </c>
      <c r="E98" s="2" t="s">
        <v>28</v>
      </c>
      <c r="F98" s="2" t="s">
        <v>29</v>
      </c>
      <c r="G98" s="2" t="s">
        <v>30</v>
      </c>
      <c r="H98" s="2" t="s">
        <v>31</v>
      </c>
      <c r="I98" s="2"/>
      <c r="J98" s="3">
        <v>16</v>
      </c>
      <c r="K98" s="2" t="s">
        <v>255</v>
      </c>
      <c r="L98" s="2" t="s">
        <v>53</v>
      </c>
      <c r="M98" s="2" t="s">
        <v>256</v>
      </c>
      <c r="N98" s="2" t="s">
        <v>35</v>
      </c>
      <c r="O98" s="2" t="s">
        <v>36</v>
      </c>
      <c r="P98" s="2" t="s">
        <v>58</v>
      </c>
      <c r="Q98" s="4">
        <v>25000</v>
      </c>
      <c r="R98" s="2" t="s">
        <v>38</v>
      </c>
      <c r="S98" s="4">
        <v>25000</v>
      </c>
      <c r="T98" s="2" t="s">
        <v>39</v>
      </c>
      <c r="U98" s="2" t="s">
        <v>40</v>
      </c>
      <c r="V98" s="2" t="s">
        <v>58</v>
      </c>
      <c r="W98" s="3">
        <v>0</v>
      </c>
      <c r="X98" s="3">
        <v>0</v>
      </c>
      <c r="Y98" s="2"/>
      <c r="Z98" s="3">
        <v>0</v>
      </c>
      <c r="AA98" s="2"/>
    </row>
    <row r="99" spans="1:27" ht="16.5" customHeight="1" x14ac:dyDescent="0.25">
      <c r="A99" s="2" t="s">
        <v>220</v>
      </c>
      <c r="B99" s="2" t="s">
        <v>26</v>
      </c>
      <c r="C99" s="2" t="s">
        <v>27</v>
      </c>
      <c r="D99" s="2" t="s">
        <v>27</v>
      </c>
      <c r="E99" s="2" t="s">
        <v>28</v>
      </c>
      <c r="F99" s="2" t="s">
        <v>29</v>
      </c>
      <c r="G99" s="2" t="s">
        <v>30</v>
      </c>
      <c r="H99" s="2" t="s">
        <v>31</v>
      </c>
      <c r="I99" s="2"/>
      <c r="J99" s="3">
        <v>17</v>
      </c>
      <c r="K99" s="2" t="s">
        <v>257</v>
      </c>
      <c r="L99" s="2" t="s">
        <v>258</v>
      </c>
      <c r="M99" s="2" t="s">
        <v>259</v>
      </c>
      <c r="N99" s="2" t="s">
        <v>35</v>
      </c>
      <c r="O99" s="2" t="s">
        <v>36</v>
      </c>
      <c r="P99" s="2" t="s">
        <v>44</v>
      </c>
      <c r="Q99" s="4">
        <v>6000</v>
      </c>
      <c r="R99" s="2" t="s">
        <v>38</v>
      </c>
      <c r="S99" s="4">
        <v>6000</v>
      </c>
      <c r="T99" s="2" t="s">
        <v>39</v>
      </c>
      <c r="U99" s="2" t="s">
        <v>40</v>
      </c>
      <c r="V99" s="2" t="s">
        <v>44</v>
      </c>
      <c r="W99" s="3">
        <v>0</v>
      </c>
      <c r="X99" s="3">
        <v>0</v>
      </c>
      <c r="Y99" s="2"/>
      <c r="Z99" s="3">
        <v>0</v>
      </c>
      <c r="AA99" s="2"/>
    </row>
    <row r="100" spans="1:27" ht="16.5" customHeight="1" x14ac:dyDescent="0.25">
      <c r="A100" s="2" t="s">
        <v>220</v>
      </c>
      <c r="B100" s="2" t="s">
        <v>26</v>
      </c>
      <c r="C100" s="2" t="s">
        <v>27</v>
      </c>
      <c r="D100" s="2" t="s">
        <v>27</v>
      </c>
      <c r="E100" s="2" t="s">
        <v>28</v>
      </c>
      <c r="F100" s="2" t="s">
        <v>29</v>
      </c>
      <c r="G100" s="2" t="s">
        <v>30</v>
      </c>
      <c r="H100" s="2" t="s">
        <v>31</v>
      </c>
      <c r="I100" s="2"/>
      <c r="J100" s="3">
        <v>18</v>
      </c>
      <c r="K100" s="2" t="s">
        <v>260</v>
      </c>
      <c r="L100" s="2" t="s">
        <v>53</v>
      </c>
      <c r="M100" s="2" t="s">
        <v>261</v>
      </c>
      <c r="N100" s="2" t="s">
        <v>35</v>
      </c>
      <c r="O100" s="2" t="s">
        <v>36</v>
      </c>
      <c r="P100" s="2" t="s">
        <v>58</v>
      </c>
      <c r="Q100" s="4">
        <v>5000</v>
      </c>
      <c r="R100" s="2" t="s">
        <v>38</v>
      </c>
      <c r="S100" s="4">
        <v>5000</v>
      </c>
      <c r="T100" s="2" t="s">
        <v>39</v>
      </c>
      <c r="U100" s="2" t="s">
        <v>40</v>
      </c>
      <c r="V100" s="2" t="s">
        <v>58</v>
      </c>
      <c r="W100" s="3">
        <v>0</v>
      </c>
      <c r="X100" s="3">
        <v>0</v>
      </c>
      <c r="Y100" s="2"/>
      <c r="Z100" s="3">
        <v>0</v>
      </c>
      <c r="AA100" s="2"/>
    </row>
    <row r="101" spans="1:27" ht="16.5" customHeight="1" x14ac:dyDescent="0.25">
      <c r="A101" s="2" t="s">
        <v>220</v>
      </c>
      <c r="B101" s="2" t="s">
        <v>26</v>
      </c>
      <c r="C101" s="2" t="s">
        <v>27</v>
      </c>
      <c r="D101" s="2" t="s">
        <v>27</v>
      </c>
      <c r="E101" s="2" t="s">
        <v>28</v>
      </c>
      <c r="F101" s="2" t="s">
        <v>29</v>
      </c>
      <c r="G101" s="2" t="s">
        <v>30</v>
      </c>
      <c r="H101" s="2" t="s">
        <v>31</v>
      </c>
      <c r="I101" s="2"/>
      <c r="J101" s="3">
        <v>19</v>
      </c>
      <c r="K101" s="2" t="s">
        <v>262</v>
      </c>
      <c r="L101" s="2" t="s">
        <v>33</v>
      </c>
      <c r="M101" s="2" t="s">
        <v>263</v>
      </c>
      <c r="N101" s="2" t="s">
        <v>35</v>
      </c>
      <c r="O101" s="2" t="s">
        <v>36</v>
      </c>
      <c r="P101" s="2" t="s">
        <v>37</v>
      </c>
      <c r="Q101" s="4">
        <v>48000</v>
      </c>
      <c r="R101" s="2" t="s">
        <v>38</v>
      </c>
      <c r="S101" s="4">
        <v>48000</v>
      </c>
      <c r="T101" s="2" t="s">
        <v>39</v>
      </c>
      <c r="U101" s="2" t="s">
        <v>40</v>
      </c>
      <c r="V101" s="2" t="s">
        <v>37</v>
      </c>
      <c r="W101" s="3">
        <v>0</v>
      </c>
      <c r="X101" s="3">
        <v>0</v>
      </c>
      <c r="Y101" s="2"/>
      <c r="Z101" s="3">
        <v>0</v>
      </c>
      <c r="AA101" s="2"/>
    </row>
    <row r="102" spans="1:27" ht="16.5" customHeight="1" x14ac:dyDescent="0.25">
      <c r="A102" s="2" t="s">
        <v>220</v>
      </c>
      <c r="B102" s="2" t="s">
        <v>26</v>
      </c>
      <c r="C102" s="2" t="s">
        <v>27</v>
      </c>
      <c r="D102" s="2" t="s">
        <v>27</v>
      </c>
      <c r="E102" s="2" t="s">
        <v>28</v>
      </c>
      <c r="F102" s="2" t="s">
        <v>29</v>
      </c>
      <c r="G102" s="2" t="s">
        <v>30</v>
      </c>
      <c r="H102" s="2" t="s">
        <v>31</v>
      </c>
      <c r="I102" s="2"/>
      <c r="J102" s="3">
        <v>20</v>
      </c>
      <c r="K102" s="2" t="s">
        <v>264</v>
      </c>
      <c r="L102" s="2" t="s">
        <v>265</v>
      </c>
      <c r="M102" s="2" t="s">
        <v>266</v>
      </c>
      <c r="N102" s="2" t="s">
        <v>35</v>
      </c>
      <c r="O102" s="2" t="s">
        <v>36</v>
      </c>
      <c r="P102" s="2" t="s">
        <v>44</v>
      </c>
      <c r="Q102" s="4">
        <v>9000</v>
      </c>
      <c r="R102" s="2" t="s">
        <v>38</v>
      </c>
      <c r="S102" s="4">
        <v>9000</v>
      </c>
      <c r="T102" s="2" t="s">
        <v>39</v>
      </c>
      <c r="U102" s="2" t="s">
        <v>40</v>
      </c>
      <c r="V102" s="2" t="s">
        <v>44</v>
      </c>
      <c r="W102" s="3">
        <v>0</v>
      </c>
      <c r="X102" s="3">
        <v>0</v>
      </c>
      <c r="Y102" s="2"/>
      <c r="Z102" s="3">
        <v>0</v>
      </c>
      <c r="AA102" s="2"/>
    </row>
    <row r="103" spans="1:27" ht="16.5" customHeight="1" x14ac:dyDescent="0.25">
      <c r="A103" s="2" t="s">
        <v>220</v>
      </c>
      <c r="B103" s="2" t="s">
        <v>26</v>
      </c>
      <c r="C103" s="2" t="s">
        <v>27</v>
      </c>
      <c r="D103" s="2" t="s">
        <v>27</v>
      </c>
      <c r="E103" s="2" t="s">
        <v>28</v>
      </c>
      <c r="F103" s="2" t="s">
        <v>29</v>
      </c>
      <c r="G103" s="2" t="s">
        <v>30</v>
      </c>
      <c r="H103" s="2" t="s">
        <v>31</v>
      </c>
      <c r="I103" s="2"/>
      <c r="J103" s="3">
        <v>21</v>
      </c>
      <c r="K103" s="2" t="s">
        <v>267</v>
      </c>
      <c r="L103" s="2" t="s">
        <v>53</v>
      </c>
      <c r="M103" s="2" t="s">
        <v>268</v>
      </c>
      <c r="N103" s="2" t="s">
        <v>35</v>
      </c>
      <c r="O103" s="2" t="s">
        <v>36</v>
      </c>
      <c r="P103" s="2" t="s">
        <v>37</v>
      </c>
      <c r="Q103" s="4">
        <v>5000</v>
      </c>
      <c r="R103" s="2" t="s">
        <v>38</v>
      </c>
      <c r="S103" s="4">
        <v>5000</v>
      </c>
      <c r="T103" s="2" t="s">
        <v>39</v>
      </c>
      <c r="U103" s="2" t="s">
        <v>40</v>
      </c>
      <c r="V103" s="2" t="s">
        <v>37</v>
      </c>
      <c r="W103" s="3">
        <v>0</v>
      </c>
      <c r="X103" s="3">
        <v>0</v>
      </c>
      <c r="Y103" s="2"/>
      <c r="Z103" s="3">
        <v>0</v>
      </c>
      <c r="AA103" s="2"/>
    </row>
    <row r="104" spans="1:27" ht="16.5" customHeight="1" x14ac:dyDescent="0.25">
      <c r="A104" s="2" t="s">
        <v>220</v>
      </c>
      <c r="B104" s="2" t="s">
        <v>26</v>
      </c>
      <c r="C104" s="2" t="s">
        <v>27</v>
      </c>
      <c r="D104" s="2" t="s">
        <v>27</v>
      </c>
      <c r="E104" s="2" t="s">
        <v>28</v>
      </c>
      <c r="F104" s="2" t="s">
        <v>29</v>
      </c>
      <c r="G104" s="2" t="s">
        <v>30</v>
      </c>
      <c r="H104" s="2" t="s">
        <v>31</v>
      </c>
      <c r="I104" s="2"/>
      <c r="J104" s="3">
        <v>22</v>
      </c>
      <c r="K104" s="2" t="s">
        <v>269</v>
      </c>
      <c r="L104" s="2" t="s">
        <v>53</v>
      </c>
      <c r="M104" s="2" t="s">
        <v>270</v>
      </c>
      <c r="N104" s="2" t="s">
        <v>35</v>
      </c>
      <c r="O104" s="2" t="s">
        <v>36</v>
      </c>
      <c r="P104" s="2" t="s">
        <v>58</v>
      </c>
      <c r="Q104" s="4">
        <v>25000</v>
      </c>
      <c r="R104" s="2" t="s">
        <v>38</v>
      </c>
      <c r="S104" s="4">
        <v>25000</v>
      </c>
      <c r="T104" s="2" t="s">
        <v>39</v>
      </c>
      <c r="U104" s="2" t="s">
        <v>40</v>
      </c>
      <c r="V104" s="2" t="s">
        <v>58</v>
      </c>
      <c r="W104" s="3">
        <v>0</v>
      </c>
      <c r="X104" s="3">
        <v>0</v>
      </c>
      <c r="Y104" s="2"/>
      <c r="Z104" s="3">
        <v>0</v>
      </c>
      <c r="AA104" s="2"/>
    </row>
    <row r="105" spans="1:27" ht="16.5" customHeight="1" x14ac:dyDescent="0.25">
      <c r="A105" s="2" t="s">
        <v>220</v>
      </c>
      <c r="B105" s="2" t="s">
        <v>26</v>
      </c>
      <c r="C105" s="2" t="s">
        <v>27</v>
      </c>
      <c r="D105" s="2" t="s">
        <v>27</v>
      </c>
      <c r="E105" s="2" t="s">
        <v>28</v>
      </c>
      <c r="F105" s="2" t="s">
        <v>29</v>
      </c>
      <c r="G105" s="2" t="s">
        <v>30</v>
      </c>
      <c r="H105" s="2" t="s">
        <v>31</v>
      </c>
      <c r="I105" s="2"/>
      <c r="J105" s="3">
        <v>23</v>
      </c>
      <c r="K105" s="2" t="s">
        <v>271</v>
      </c>
      <c r="L105" s="2" t="s">
        <v>33</v>
      </c>
      <c r="M105" s="2" t="s">
        <v>272</v>
      </c>
      <c r="N105" s="2" t="s">
        <v>35</v>
      </c>
      <c r="O105" s="2" t="s">
        <v>36</v>
      </c>
      <c r="P105" s="2" t="s">
        <v>37</v>
      </c>
      <c r="Q105" s="4">
        <v>6000</v>
      </c>
      <c r="R105" s="2" t="s">
        <v>38</v>
      </c>
      <c r="S105" s="4">
        <v>6000</v>
      </c>
      <c r="T105" s="2" t="s">
        <v>39</v>
      </c>
      <c r="U105" s="2" t="s">
        <v>40</v>
      </c>
      <c r="V105" s="2" t="s">
        <v>37</v>
      </c>
      <c r="W105" s="3">
        <v>0</v>
      </c>
      <c r="X105" s="3">
        <v>0</v>
      </c>
      <c r="Y105" s="2"/>
      <c r="Z105" s="3">
        <v>0</v>
      </c>
      <c r="AA105" s="2"/>
    </row>
    <row r="106" spans="1:27" ht="16.5" customHeight="1" x14ac:dyDescent="0.25">
      <c r="A106" s="2" t="s">
        <v>220</v>
      </c>
      <c r="B106" s="2" t="s">
        <v>26</v>
      </c>
      <c r="C106" s="2" t="s">
        <v>27</v>
      </c>
      <c r="D106" s="2" t="s">
        <v>27</v>
      </c>
      <c r="E106" s="2" t="s">
        <v>28</v>
      </c>
      <c r="F106" s="2" t="s">
        <v>29</v>
      </c>
      <c r="G106" s="2" t="s">
        <v>30</v>
      </c>
      <c r="H106" s="2" t="s">
        <v>31</v>
      </c>
      <c r="I106" s="2"/>
      <c r="J106" s="3">
        <v>24</v>
      </c>
      <c r="K106" s="2" t="s">
        <v>273</v>
      </c>
      <c r="L106" s="2" t="s">
        <v>53</v>
      </c>
      <c r="M106" s="2" t="s">
        <v>274</v>
      </c>
      <c r="N106" s="2" t="s">
        <v>35</v>
      </c>
      <c r="O106" s="2" t="s">
        <v>36</v>
      </c>
      <c r="P106" s="2" t="s">
        <v>58</v>
      </c>
      <c r="Q106" s="4">
        <v>15000</v>
      </c>
      <c r="R106" s="2" t="s">
        <v>38</v>
      </c>
      <c r="S106" s="4">
        <v>15000</v>
      </c>
      <c r="T106" s="2" t="s">
        <v>39</v>
      </c>
      <c r="U106" s="2" t="s">
        <v>40</v>
      </c>
      <c r="V106" s="2" t="s">
        <v>58</v>
      </c>
      <c r="W106" s="3">
        <v>0</v>
      </c>
      <c r="X106" s="3">
        <v>0</v>
      </c>
      <c r="Y106" s="2"/>
      <c r="Z106" s="3">
        <v>0</v>
      </c>
      <c r="AA106" s="2"/>
    </row>
    <row r="107" spans="1:27" ht="16.5" customHeight="1" x14ac:dyDescent="0.25">
      <c r="A107" s="2" t="s">
        <v>220</v>
      </c>
      <c r="B107" s="2" t="s">
        <v>26</v>
      </c>
      <c r="C107" s="2" t="s">
        <v>27</v>
      </c>
      <c r="D107" s="2" t="s">
        <v>27</v>
      </c>
      <c r="E107" s="2" t="s">
        <v>28</v>
      </c>
      <c r="F107" s="2" t="s">
        <v>29</v>
      </c>
      <c r="G107" s="2" t="s">
        <v>30</v>
      </c>
      <c r="H107" s="2" t="s">
        <v>31</v>
      </c>
      <c r="I107" s="2"/>
      <c r="J107" s="3">
        <v>25</v>
      </c>
      <c r="K107" s="2" t="s">
        <v>275</v>
      </c>
      <c r="L107" s="2" t="s">
        <v>276</v>
      </c>
      <c r="M107" s="2" t="s">
        <v>277</v>
      </c>
      <c r="N107" s="2" t="s">
        <v>35</v>
      </c>
      <c r="O107" s="2" t="s">
        <v>36</v>
      </c>
      <c r="P107" s="2" t="s">
        <v>58</v>
      </c>
      <c r="Q107" s="4">
        <v>6000</v>
      </c>
      <c r="R107" s="2" t="s">
        <v>38</v>
      </c>
      <c r="S107" s="4">
        <v>6000</v>
      </c>
      <c r="T107" s="2" t="s">
        <v>39</v>
      </c>
      <c r="U107" s="2" t="s">
        <v>40</v>
      </c>
      <c r="V107" s="2" t="s">
        <v>58</v>
      </c>
      <c r="W107" s="3">
        <v>0</v>
      </c>
      <c r="X107" s="3">
        <v>0</v>
      </c>
      <c r="Y107" s="2"/>
      <c r="Z107" s="3">
        <v>0</v>
      </c>
      <c r="AA107" s="2"/>
    </row>
    <row r="108" spans="1:27" ht="16.5" customHeight="1" x14ac:dyDescent="0.25">
      <c r="A108" s="2" t="s">
        <v>220</v>
      </c>
      <c r="B108" s="2" t="s">
        <v>26</v>
      </c>
      <c r="C108" s="2" t="s">
        <v>27</v>
      </c>
      <c r="D108" s="2" t="s">
        <v>27</v>
      </c>
      <c r="E108" s="2" t="s">
        <v>28</v>
      </c>
      <c r="F108" s="2" t="s">
        <v>29</v>
      </c>
      <c r="G108" s="2" t="s">
        <v>30</v>
      </c>
      <c r="H108" s="2" t="s">
        <v>31</v>
      </c>
      <c r="I108" s="2"/>
      <c r="J108" s="3">
        <v>26</v>
      </c>
      <c r="K108" s="2" t="s">
        <v>278</v>
      </c>
      <c r="L108" s="2" t="s">
        <v>53</v>
      </c>
      <c r="M108" s="2" t="s">
        <v>279</v>
      </c>
      <c r="N108" s="2" t="s">
        <v>35</v>
      </c>
      <c r="O108" s="2" t="s">
        <v>36</v>
      </c>
      <c r="P108" s="2" t="s">
        <v>58</v>
      </c>
      <c r="Q108" s="4">
        <v>10000</v>
      </c>
      <c r="R108" s="2" t="s">
        <v>38</v>
      </c>
      <c r="S108" s="4">
        <v>10000</v>
      </c>
      <c r="T108" s="2" t="s">
        <v>39</v>
      </c>
      <c r="U108" s="2" t="s">
        <v>40</v>
      </c>
      <c r="V108" s="2" t="s">
        <v>58</v>
      </c>
      <c r="W108" s="3">
        <v>0</v>
      </c>
      <c r="X108" s="3">
        <v>0</v>
      </c>
      <c r="Y108" s="2"/>
      <c r="Z108" s="3">
        <v>0</v>
      </c>
      <c r="AA108" s="2"/>
    </row>
    <row r="109" spans="1:27" ht="16.5" customHeight="1" x14ac:dyDescent="0.25">
      <c r="A109" s="2" t="s">
        <v>220</v>
      </c>
      <c r="B109" s="2" t="s">
        <v>26</v>
      </c>
      <c r="C109" s="2" t="s">
        <v>27</v>
      </c>
      <c r="D109" s="2" t="s">
        <v>27</v>
      </c>
      <c r="E109" s="2" t="s">
        <v>28</v>
      </c>
      <c r="F109" s="2" t="s">
        <v>29</v>
      </c>
      <c r="G109" s="2" t="s">
        <v>30</v>
      </c>
      <c r="H109" s="2" t="s">
        <v>31</v>
      </c>
      <c r="I109" s="2"/>
      <c r="J109" s="3">
        <v>27</v>
      </c>
      <c r="K109" s="2" t="s">
        <v>280</v>
      </c>
      <c r="L109" s="2" t="s">
        <v>33</v>
      </c>
      <c r="M109" s="2" t="s">
        <v>281</v>
      </c>
      <c r="N109" s="2" t="s">
        <v>35</v>
      </c>
      <c r="O109" s="2" t="s">
        <v>36</v>
      </c>
      <c r="P109" s="2" t="s">
        <v>44</v>
      </c>
      <c r="Q109" s="4">
        <v>8000</v>
      </c>
      <c r="R109" s="2" t="s">
        <v>38</v>
      </c>
      <c r="S109" s="4">
        <v>8000</v>
      </c>
      <c r="T109" s="2" t="s">
        <v>39</v>
      </c>
      <c r="U109" s="2" t="s">
        <v>40</v>
      </c>
      <c r="V109" s="2" t="s">
        <v>44</v>
      </c>
      <c r="W109" s="3">
        <v>0</v>
      </c>
      <c r="X109" s="3">
        <v>0</v>
      </c>
      <c r="Y109" s="2"/>
      <c r="Z109" s="3">
        <v>0</v>
      </c>
      <c r="AA109" s="2"/>
    </row>
    <row r="110" spans="1:27" ht="16.5" customHeight="1" x14ac:dyDescent="0.25">
      <c r="A110" s="2" t="s">
        <v>220</v>
      </c>
      <c r="B110" s="2" t="s">
        <v>26</v>
      </c>
      <c r="C110" s="2" t="s">
        <v>27</v>
      </c>
      <c r="D110" s="2" t="s">
        <v>27</v>
      </c>
      <c r="E110" s="2" t="s">
        <v>28</v>
      </c>
      <c r="F110" s="2" t="s">
        <v>29</v>
      </c>
      <c r="G110" s="2" t="s">
        <v>30</v>
      </c>
      <c r="H110" s="2" t="s">
        <v>31</v>
      </c>
      <c r="I110" s="2"/>
      <c r="J110" s="3">
        <v>28</v>
      </c>
      <c r="K110" s="2" t="s">
        <v>282</v>
      </c>
      <c r="L110" s="2" t="s">
        <v>53</v>
      </c>
      <c r="M110" s="2" t="s">
        <v>283</v>
      </c>
      <c r="N110" s="2" t="s">
        <v>35</v>
      </c>
      <c r="O110" s="2" t="s">
        <v>36</v>
      </c>
      <c r="P110" s="2" t="s">
        <v>97</v>
      </c>
      <c r="Q110" s="4">
        <v>35000</v>
      </c>
      <c r="R110" s="2" t="s">
        <v>38</v>
      </c>
      <c r="S110" s="4">
        <v>35000</v>
      </c>
      <c r="T110" s="2" t="s">
        <v>39</v>
      </c>
      <c r="U110" s="2" t="s">
        <v>40</v>
      </c>
      <c r="V110" s="2" t="s">
        <v>97</v>
      </c>
      <c r="W110" s="3">
        <v>0</v>
      </c>
      <c r="X110" s="3">
        <v>0</v>
      </c>
      <c r="Y110" s="2"/>
      <c r="Z110" s="3">
        <v>0</v>
      </c>
      <c r="AA110" s="2"/>
    </row>
    <row r="111" spans="1:27" ht="16.5" customHeight="1" x14ac:dyDescent="0.25">
      <c r="A111" s="2" t="s">
        <v>220</v>
      </c>
      <c r="B111" s="2" t="s">
        <v>26</v>
      </c>
      <c r="C111" s="2" t="s">
        <v>27</v>
      </c>
      <c r="D111" s="2" t="s">
        <v>27</v>
      </c>
      <c r="E111" s="2" t="s">
        <v>28</v>
      </c>
      <c r="F111" s="2" t="s">
        <v>29</v>
      </c>
      <c r="G111" s="2" t="s">
        <v>30</v>
      </c>
      <c r="H111" s="2" t="s">
        <v>31</v>
      </c>
      <c r="I111" s="2"/>
      <c r="J111" s="3">
        <v>29</v>
      </c>
      <c r="K111" s="2" t="s">
        <v>284</v>
      </c>
      <c r="L111" s="2" t="s">
        <v>53</v>
      </c>
      <c r="M111" s="2" t="s">
        <v>285</v>
      </c>
      <c r="N111" s="2" t="s">
        <v>35</v>
      </c>
      <c r="O111" s="2" t="s">
        <v>36</v>
      </c>
      <c r="P111" s="2" t="s">
        <v>37</v>
      </c>
      <c r="Q111" s="4">
        <v>20000</v>
      </c>
      <c r="R111" s="2" t="s">
        <v>38</v>
      </c>
      <c r="S111" s="4">
        <v>20000</v>
      </c>
      <c r="T111" s="2" t="s">
        <v>39</v>
      </c>
      <c r="U111" s="2" t="s">
        <v>40</v>
      </c>
      <c r="V111" s="2" t="s">
        <v>37</v>
      </c>
      <c r="W111" s="3">
        <v>0</v>
      </c>
      <c r="X111" s="3">
        <v>0</v>
      </c>
      <c r="Y111" s="2"/>
      <c r="Z111" s="3">
        <v>0</v>
      </c>
      <c r="AA111" s="2"/>
    </row>
    <row r="112" spans="1:27" ht="16.5" customHeight="1" x14ac:dyDescent="0.25">
      <c r="A112" s="2" t="s">
        <v>220</v>
      </c>
      <c r="B112" s="2" t="s">
        <v>26</v>
      </c>
      <c r="C112" s="2" t="s">
        <v>27</v>
      </c>
      <c r="D112" s="2" t="s">
        <v>27</v>
      </c>
      <c r="E112" s="2" t="s">
        <v>28</v>
      </c>
      <c r="F112" s="2" t="s">
        <v>29</v>
      </c>
      <c r="G112" s="2" t="s">
        <v>30</v>
      </c>
      <c r="H112" s="2" t="s">
        <v>31</v>
      </c>
      <c r="I112" s="2"/>
      <c r="J112" s="3">
        <v>30</v>
      </c>
      <c r="K112" s="2" t="s">
        <v>286</v>
      </c>
      <c r="L112" s="2" t="s">
        <v>53</v>
      </c>
      <c r="M112" s="2" t="s">
        <v>287</v>
      </c>
      <c r="N112" s="2" t="s">
        <v>35</v>
      </c>
      <c r="O112" s="2" t="s">
        <v>36</v>
      </c>
      <c r="P112" s="2" t="s">
        <v>44</v>
      </c>
      <c r="Q112" s="4">
        <v>10000</v>
      </c>
      <c r="R112" s="2" t="s">
        <v>38</v>
      </c>
      <c r="S112" s="4">
        <v>10000</v>
      </c>
      <c r="T112" s="2" t="s">
        <v>39</v>
      </c>
      <c r="U112" s="2" t="s">
        <v>40</v>
      </c>
      <c r="V112" s="2" t="s">
        <v>44</v>
      </c>
      <c r="W112" s="3">
        <v>0</v>
      </c>
      <c r="X112" s="3">
        <v>0</v>
      </c>
      <c r="Y112" s="2"/>
      <c r="Z112" s="3">
        <v>0</v>
      </c>
      <c r="AA112" s="2"/>
    </row>
    <row r="113" spans="1:27" ht="16.5" customHeight="1" x14ac:dyDescent="0.25">
      <c r="A113" s="2" t="s">
        <v>220</v>
      </c>
      <c r="B113" s="2" t="s">
        <v>26</v>
      </c>
      <c r="C113" s="2" t="s">
        <v>27</v>
      </c>
      <c r="D113" s="2" t="s">
        <v>27</v>
      </c>
      <c r="E113" s="2" t="s">
        <v>28</v>
      </c>
      <c r="F113" s="2" t="s">
        <v>29</v>
      </c>
      <c r="G113" s="2" t="s">
        <v>30</v>
      </c>
      <c r="H113" s="2" t="s">
        <v>31</v>
      </c>
      <c r="I113" s="2"/>
      <c r="J113" s="3">
        <v>31</v>
      </c>
      <c r="K113" s="2" t="s">
        <v>288</v>
      </c>
      <c r="L113" s="2" t="s">
        <v>53</v>
      </c>
      <c r="M113" s="2" t="s">
        <v>289</v>
      </c>
      <c r="N113" s="2" t="s">
        <v>35</v>
      </c>
      <c r="O113" s="2" t="s">
        <v>36</v>
      </c>
      <c r="P113" s="2" t="s">
        <v>37</v>
      </c>
      <c r="Q113" s="4">
        <v>5000</v>
      </c>
      <c r="R113" s="2" t="s">
        <v>38</v>
      </c>
      <c r="S113" s="4">
        <v>5000</v>
      </c>
      <c r="T113" s="2" t="s">
        <v>39</v>
      </c>
      <c r="U113" s="2" t="s">
        <v>40</v>
      </c>
      <c r="V113" s="2" t="s">
        <v>37</v>
      </c>
      <c r="W113" s="3">
        <v>0</v>
      </c>
      <c r="X113" s="3">
        <v>0</v>
      </c>
      <c r="Y113" s="2"/>
      <c r="Z113" s="3">
        <v>0</v>
      </c>
      <c r="AA113" s="2"/>
    </row>
    <row r="114" spans="1:27" ht="16.5" customHeight="1" x14ac:dyDescent="0.25">
      <c r="A114" s="2" t="s">
        <v>220</v>
      </c>
      <c r="B114" s="2" t="s">
        <v>26</v>
      </c>
      <c r="C114" s="2" t="s">
        <v>27</v>
      </c>
      <c r="D114" s="2" t="s">
        <v>27</v>
      </c>
      <c r="E114" s="2" t="s">
        <v>28</v>
      </c>
      <c r="F114" s="2" t="s">
        <v>29</v>
      </c>
      <c r="G114" s="2" t="s">
        <v>30</v>
      </c>
      <c r="H114" s="2" t="s">
        <v>31</v>
      </c>
      <c r="I114" s="2"/>
      <c r="J114" s="3">
        <v>32</v>
      </c>
      <c r="K114" s="2" t="s">
        <v>290</v>
      </c>
      <c r="L114" s="2" t="s">
        <v>291</v>
      </c>
      <c r="M114" s="2" t="s">
        <v>292</v>
      </c>
      <c r="N114" s="2" t="s">
        <v>35</v>
      </c>
      <c r="O114" s="2" t="s">
        <v>36</v>
      </c>
      <c r="P114" s="2" t="s">
        <v>44</v>
      </c>
      <c r="Q114" s="4">
        <v>9000</v>
      </c>
      <c r="R114" s="2" t="s">
        <v>38</v>
      </c>
      <c r="S114" s="4">
        <v>9000</v>
      </c>
      <c r="T114" s="2" t="s">
        <v>39</v>
      </c>
      <c r="U114" s="2" t="s">
        <v>40</v>
      </c>
      <c r="V114" s="2" t="s">
        <v>44</v>
      </c>
      <c r="W114" s="3">
        <v>0</v>
      </c>
      <c r="X114" s="3">
        <v>0</v>
      </c>
      <c r="Y114" s="2"/>
      <c r="Z114" s="3">
        <v>0</v>
      </c>
      <c r="AA114" s="2"/>
    </row>
    <row r="115" spans="1:27" ht="16.5" customHeight="1" x14ac:dyDescent="0.25">
      <c r="A115" s="2" t="s">
        <v>220</v>
      </c>
      <c r="B115" s="2" t="s">
        <v>26</v>
      </c>
      <c r="C115" s="2" t="s">
        <v>27</v>
      </c>
      <c r="D115" s="2" t="s">
        <v>27</v>
      </c>
      <c r="E115" s="2" t="s">
        <v>28</v>
      </c>
      <c r="F115" s="2" t="s">
        <v>29</v>
      </c>
      <c r="G115" s="2" t="s">
        <v>30</v>
      </c>
      <c r="H115" s="2" t="s">
        <v>31</v>
      </c>
      <c r="I115" s="2"/>
      <c r="J115" s="3">
        <v>33</v>
      </c>
      <c r="K115" s="2" t="s">
        <v>293</v>
      </c>
      <c r="L115" s="2" t="s">
        <v>53</v>
      </c>
      <c r="M115" s="2" t="s">
        <v>294</v>
      </c>
      <c r="N115" s="2" t="s">
        <v>35</v>
      </c>
      <c r="O115" s="2" t="s">
        <v>36</v>
      </c>
      <c r="P115" s="2" t="s">
        <v>37</v>
      </c>
      <c r="Q115" s="4">
        <v>15000</v>
      </c>
      <c r="R115" s="2" t="s">
        <v>38</v>
      </c>
      <c r="S115" s="4">
        <v>15000</v>
      </c>
      <c r="T115" s="2" t="s">
        <v>39</v>
      </c>
      <c r="U115" s="2" t="s">
        <v>40</v>
      </c>
      <c r="V115" s="2" t="s">
        <v>37</v>
      </c>
      <c r="W115" s="3">
        <v>0</v>
      </c>
      <c r="X115" s="3">
        <v>0</v>
      </c>
      <c r="Y115" s="2"/>
      <c r="Z115" s="3">
        <v>0</v>
      </c>
      <c r="AA115" s="2"/>
    </row>
    <row r="116" spans="1:27" ht="16.5" customHeight="1" x14ac:dyDescent="0.25">
      <c r="A116" s="2" t="s">
        <v>220</v>
      </c>
      <c r="B116" s="2" t="s">
        <v>26</v>
      </c>
      <c r="C116" s="2" t="s">
        <v>27</v>
      </c>
      <c r="D116" s="2" t="s">
        <v>27</v>
      </c>
      <c r="E116" s="2" t="s">
        <v>28</v>
      </c>
      <c r="F116" s="2" t="s">
        <v>29</v>
      </c>
      <c r="G116" s="2" t="s">
        <v>30</v>
      </c>
      <c r="H116" s="2" t="s">
        <v>31</v>
      </c>
      <c r="I116" s="2"/>
      <c r="J116" s="3">
        <v>34</v>
      </c>
      <c r="K116" s="2" t="s">
        <v>295</v>
      </c>
      <c r="L116" s="2" t="s">
        <v>296</v>
      </c>
      <c r="M116" s="2" t="s">
        <v>297</v>
      </c>
      <c r="N116" s="2" t="s">
        <v>35</v>
      </c>
      <c r="O116" s="2" t="s">
        <v>36</v>
      </c>
      <c r="P116" s="2" t="s">
        <v>58</v>
      </c>
      <c r="Q116" s="4">
        <v>12000</v>
      </c>
      <c r="R116" s="2" t="s">
        <v>38</v>
      </c>
      <c r="S116" s="4">
        <v>12000</v>
      </c>
      <c r="T116" s="2" t="s">
        <v>39</v>
      </c>
      <c r="U116" s="2" t="s">
        <v>40</v>
      </c>
      <c r="V116" s="2" t="s">
        <v>58</v>
      </c>
      <c r="W116" s="3">
        <v>0</v>
      </c>
      <c r="X116" s="3">
        <v>0</v>
      </c>
      <c r="Y116" s="2"/>
      <c r="Z116" s="3">
        <v>0</v>
      </c>
      <c r="AA116" s="2"/>
    </row>
    <row r="117" spans="1:27" ht="16.5" customHeight="1" x14ac:dyDescent="0.25">
      <c r="A117" s="2" t="s">
        <v>220</v>
      </c>
      <c r="B117" s="2" t="s">
        <v>26</v>
      </c>
      <c r="C117" s="2" t="s">
        <v>27</v>
      </c>
      <c r="D117" s="2" t="s">
        <v>27</v>
      </c>
      <c r="E117" s="2" t="s">
        <v>28</v>
      </c>
      <c r="F117" s="2" t="s">
        <v>29</v>
      </c>
      <c r="G117" s="2" t="s">
        <v>30</v>
      </c>
      <c r="H117" s="2" t="s">
        <v>31</v>
      </c>
      <c r="I117" s="2"/>
      <c r="J117" s="3">
        <v>35</v>
      </c>
      <c r="K117" s="2" t="s">
        <v>298</v>
      </c>
      <c r="L117" s="2" t="s">
        <v>299</v>
      </c>
      <c r="M117" s="2" t="s">
        <v>300</v>
      </c>
      <c r="N117" s="2" t="s">
        <v>35</v>
      </c>
      <c r="O117" s="2" t="s">
        <v>36</v>
      </c>
      <c r="P117" s="2" t="s">
        <v>58</v>
      </c>
      <c r="Q117" s="4">
        <v>9000</v>
      </c>
      <c r="R117" s="2" t="s">
        <v>38</v>
      </c>
      <c r="S117" s="4">
        <v>9000</v>
      </c>
      <c r="T117" s="2" t="s">
        <v>39</v>
      </c>
      <c r="U117" s="2" t="s">
        <v>40</v>
      </c>
      <c r="V117" s="2" t="s">
        <v>58</v>
      </c>
      <c r="W117" s="3">
        <v>0</v>
      </c>
      <c r="X117" s="3">
        <v>0</v>
      </c>
      <c r="Y117" s="2"/>
      <c r="Z117" s="3">
        <v>0</v>
      </c>
      <c r="AA117" s="2"/>
    </row>
    <row r="118" spans="1:27" ht="16.5" customHeight="1" x14ac:dyDescent="0.25">
      <c r="A118" s="2" t="s">
        <v>220</v>
      </c>
      <c r="B118" s="2" t="s">
        <v>26</v>
      </c>
      <c r="C118" s="2" t="s">
        <v>27</v>
      </c>
      <c r="D118" s="2" t="s">
        <v>27</v>
      </c>
      <c r="E118" s="2" t="s">
        <v>28</v>
      </c>
      <c r="F118" s="2" t="s">
        <v>29</v>
      </c>
      <c r="G118" s="2" t="s">
        <v>30</v>
      </c>
      <c r="H118" s="2" t="s">
        <v>31</v>
      </c>
      <c r="I118" s="2"/>
      <c r="J118" s="3">
        <v>36</v>
      </c>
      <c r="K118" s="2" t="s">
        <v>301</v>
      </c>
      <c r="L118" s="2" t="s">
        <v>302</v>
      </c>
      <c r="M118" s="2" t="s">
        <v>303</v>
      </c>
      <c r="N118" s="2" t="s">
        <v>35</v>
      </c>
      <c r="O118" s="2" t="s">
        <v>36</v>
      </c>
      <c r="P118" s="2" t="s">
        <v>37</v>
      </c>
      <c r="Q118" s="4">
        <v>3462</v>
      </c>
      <c r="R118" s="2" t="s">
        <v>38</v>
      </c>
      <c r="S118" s="4">
        <v>3462</v>
      </c>
      <c r="T118" s="2" t="s">
        <v>39</v>
      </c>
      <c r="U118" s="2" t="s">
        <v>40</v>
      </c>
      <c r="V118" s="2" t="s">
        <v>37</v>
      </c>
      <c r="W118" s="3">
        <v>0</v>
      </c>
      <c r="X118" s="3">
        <v>0</v>
      </c>
      <c r="Y118" s="2"/>
      <c r="Z118" s="3">
        <v>0</v>
      </c>
      <c r="AA118" s="2"/>
    </row>
    <row r="119" spans="1:27" ht="16.5" customHeight="1" x14ac:dyDescent="0.25">
      <c r="A119" s="2" t="s">
        <v>220</v>
      </c>
      <c r="B119" s="2" t="s">
        <v>26</v>
      </c>
      <c r="C119" s="2" t="s">
        <v>27</v>
      </c>
      <c r="D119" s="2" t="s">
        <v>27</v>
      </c>
      <c r="E119" s="2" t="s">
        <v>28</v>
      </c>
      <c r="F119" s="2" t="s">
        <v>29</v>
      </c>
      <c r="G119" s="2" t="s">
        <v>30</v>
      </c>
      <c r="H119" s="2" t="s">
        <v>31</v>
      </c>
      <c r="I119" s="2"/>
      <c r="J119" s="3">
        <v>37</v>
      </c>
      <c r="K119" s="2" t="s">
        <v>231</v>
      </c>
      <c r="L119" s="2" t="s">
        <v>33</v>
      </c>
      <c r="M119" s="2" t="s">
        <v>232</v>
      </c>
      <c r="N119" s="2" t="s">
        <v>35</v>
      </c>
      <c r="O119" s="2" t="s">
        <v>36</v>
      </c>
      <c r="P119" s="2" t="s">
        <v>304</v>
      </c>
      <c r="Q119" s="4">
        <v>3000</v>
      </c>
      <c r="R119" s="2" t="s">
        <v>38</v>
      </c>
      <c r="S119" s="4">
        <v>3000</v>
      </c>
      <c r="T119" s="2" t="s">
        <v>39</v>
      </c>
      <c r="U119" s="2" t="s">
        <v>40</v>
      </c>
      <c r="V119" s="2" t="s">
        <v>304</v>
      </c>
      <c r="W119" s="3">
        <v>0</v>
      </c>
      <c r="X119" s="3">
        <v>0</v>
      </c>
      <c r="Y119" s="2"/>
      <c r="Z119" s="3">
        <v>0</v>
      </c>
      <c r="AA119" s="2"/>
    </row>
    <row r="120" spans="1:27" ht="16.5" customHeight="1" x14ac:dyDescent="0.25">
      <c r="A120" s="2" t="s">
        <v>220</v>
      </c>
      <c r="B120" s="2" t="s">
        <v>26</v>
      </c>
      <c r="C120" s="2" t="s">
        <v>27</v>
      </c>
      <c r="D120" s="2" t="s">
        <v>27</v>
      </c>
      <c r="E120" s="2" t="s">
        <v>28</v>
      </c>
      <c r="F120" s="2" t="s">
        <v>29</v>
      </c>
      <c r="G120" s="2" t="s">
        <v>30</v>
      </c>
      <c r="H120" s="2" t="s">
        <v>31</v>
      </c>
      <c r="I120" s="2"/>
      <c r="J120" s="3">
        <v>38</v>
      </c>
      <c r="K120" s="2" t="s">
        <v>231</v>
      </c>
      <c r="L120" s="2" t="s">
        <v>33</v>
      </c>
      <c r="M120" s="2" t="s">
        <v>232</v>
      </c>
      <c r="N120" s="2" t="s">
        <v>35</v>
      </c>
      <c r="O120" s="2" t="s">
        <v>36</v>
      </c>
      <c r="P120" s="2" t="s">
        <v>97</v>
      </c>
      <c r="Q120" s="4">
        <v>3000</v>
      </c>
      <c r="R120" s="2" t="s">
        <v>38</v>
      </c>
      <c r="S120" s="4">
        <v>3000</v>
      </c>
      <c r="T120" s="2" t="s">
        <v>39</v>
      </c>
      <c r="U120" s="2" t="s">
        <v>40</v>
      </c>
      <c r="V120" s="2" t="s">
        <v>97</v>
      </c>
      <c r="W120" s="3">
        <v>0</v>
      </c>
      <c r="X120" s="3">
        <v>0</v>
      </c>
      <c r="Y120" s="2"/>
      <c r="Z120" s="3">
        <v>0</v>
      </c>
      <c r="AA120" s="2"/>
    </row>
    <row r="121" spans="1:27" ht="16.5" customHeight="1" x14ac:dyDescent="0.25">
      <c r="A121" s="2" t="s">
        <v>220</v>
      </c>
      <c r="B121" s="2" t="s">
        <v>26</v>
      </c>
      <c r="C121" s="2" t="s">
        <v>27</v>
      </c>
      <c r="D121" s="2" t="s">
        <v>27</v>
      </c>
      <c r="E121" s="2" t="s">
        <v>28</v>
      </c>
      <c r="F121" s="2" t="s">
        <v>29</v>
      </c>
      <c r="G121" s="2" t="s">
        <v>30</v>
      </c>
      <c r="H121" s="2" t="s">
        <v>31</v>
      </c>
      <c r="I121" s="2"/>
      <c r="J121" s="3">
        <v>39</v>
      </c>
      <c r="K121" s="2" t="s">
        <v>231</v>
      </c>
      <c r="L121" s="2" t="s">
        <v>33</v>
      </c>
      <c r="M121" s="2" t="s">
        <v>232</v>
      </c>
      <c r="N121" s="2" t="s">
        <v>35</v>
      </c>
      <c r="O121" s="2" t="s">
        <v>36</v>
      </c>
      <c r="P121" s="2" t="s">
        <v>37</v>
      </c>
      <c r="Q121" s="4">
        <v>3000</v>
      </c>
      <c r="R121" s="2" t="s">
        <v>38</v>
      </c>
      <c r="S121" s="4">
        <v>3000</v>
      </c>
      <c r="T121" s="2" t="s">
        <v>39</v>
      </c>
      <c r="U121" s="2" t="s">
        <v>40</v>
      </c>
      <c r="V121" s="2" t="s">
        <v>37</v>
      </c>
      <c r="W121" s="3">
        <v>0</v>
      </c>
      <c r="X121" s="3">
        <v>0</v>
      </c>
      <c r="Y121" s="2"/>
      <c r="Z121" s="3">
        <v>0</v>
      </c>
      <c r="AA121" s="2"/>
    </row>
    <row r="122" spans="1:27" ht="16.5" customHeight="1" x14ac:dyDescent="0.25">
      <c r="A122" s="2" t="s">
        <v>220</v>
      </c>
      <c r="B122" s="2" t="s">
        <v>26</v>
      </c>
      <c r="C122" s="2" t="s">
        <v>27</v>
      </c>
      <c r="D122" s="2" t="s">
        <v>27</v>
      </c>
      <c r="E122" s="2" t="s">
        <v>28</v>
      </c>
      <c r="F122" s="2" t="s">
        <v>29</v>
      </c>
      <c r="G122" s="2" t="s">
        <v>30</v>
      </c>
      <c r="H122" s="2" t="s">
        <v>31</v>
      </c>
      <c r="I122" s="2"/>
      <c r="J122" s="3">
        <v>40</v>
      </c>
      <c r="K122" s="2" t="s">
        <v>243</v>
      </c>
      <c r="L122" s="2" t="s">
        <v>53</v>
      </c>
      <c r="M122" s="2" t="s">
        <v>244</v>
      </c>
      <c r="N122" s="2" t="s">
        <v>35</v>
      </c>
      <c r="O122" s="2" t="s">
        <v>36</v>
      </c>
      <c r="P122" s="2" t="s">
        <v>44</v>
      </c>
      <c r="Q122" s="4">
        <v>5000</v>
      </c>
      <c r="R122" s="2" t="s">
        <v>38</v>
      </c>
      <c r="S122" s="4">
        <v>5000</v>
      </c>
      <c r="T122" s="2" t="s">
        <v>39</v>
      </c>
      <c r="U122" s="2" t="s">
        <v>40</v>
      </c>
      <c r="V122" s="2" t="s">
        <v>44</v>
      </c>
      <c r="W122" s="3">
        <v>0</v>
      </c>
      <c r="X122" s="3">
        <v>0</v>
      </c>
      <c r="Y122" s="2"/>
      <c r="Z122" s="3">
        <v>0</v>
      </c>
      <c r="AA122" s="2"/>
    </row>
    <row r="123" spans="1:27" ht="16.5" customHeight="1" x14ac:dyDescent="0.25">
      <c r="A123" s="2" t="s">
        <v>220</v>
      </c>
      <c r="B123" s="2" t="s">
        <v>26</v>
      </c>
      <c r="C123" s="2" t="s">
        <v>27</v>
      </c>
      <c r="D123" s="2" t="s">
        <v>27</v>
      </c>
      <c r="E123" s="2" t="s">
        <v>28</v>
      </c>
      <c r="F123" s="2" t="s">
        <v>29</v>
      </c>
      <c r="G123" s="2" t="s">
        <v>30</v>
      </c>
      <c r="H123" s="2" t="s">
        <v>31</v>
      </c>
      <c r="I123" s="2"/>
      <c r="J123" s="3">
        <v>41</v>
      </c>
      <c r="K123" s="2" t="s">
        <v>267</v>
      </c>
      <c r="L123" s="2" t="s">
        <v>53</v>
      </c>
      <c r="M123" s="2" t="s">
        <v>268</v>
      </c>
      <c r="N123" s="2" t="s">
        <v>35</v>
      </c>
      <c r="O123" s="2" t="s">
        <v>36</v>
      </c>
      <c r="P123" s="2" t="s">
        <v>58</v>
      </c>
      <c r="Q123" s="4">
        <v>5000</v>
      </c>
      <c r="R123" s="2" t="s">
        <v>38</v>
      </c>
      <c r="S123" s="4">
        <v>5000</v>
      </c>
      <c r="T123" s="2" t="s">
        <v>39</v>
      </c>
      <c r="U123" s="2" t="s">
        <v>40</v>
      </c>
      <c r="V123" s="2" t="s">
        <v>58</v>
      </c>
      <c r="W123" s="3">
        <v>0</v>
      </c>
      <c r="X123" s="3">
        <v>0</v>
      </c>
      <c r="Y123" s="2"/>
      <c r="Z123" s="3">
        <v>0</v>
      </c>
      <c r="AA123" s="2"/>
    </row>
    <row r="124" spans="1:27" ht="16.5" customHeight="1" x14ac:dyDescent="0.25">
      <c r="A124" s="2" t="s">
        <v>220</v>
      </c>
      <c r="B124" s="2" t="s">
        <v>26</v>
      </c>
      <c r="C124" s="2" t="s">
        <v>27</v>
      </c>
      <c r="D124" s="2" t="s">
        <v>27</v>
      </c>
      <c r="E124" s="2" t="s">
        <v>28</v>
      </c>
      <c r="F124" s="2" t="s">
        <v>29</v>
      </c>
      <c r="G124" s="2" t="s">
        <v>30</v>
      </c>
      <c r="H124" s="2" t="s">
        <v>31</v>
      </c>
      <c r="I124" s="2"/>
      <c r="J124" s="3">
        <v>42</v>
      </c>
      <c r="K124" s="2" t="s">
        <v>288</v>
      </c>
      <c r="L124" s="2" t="s">
        <v>53</v>
      </c>
      <c r="M124" s="2" t="s">
        <v>289</v>
      </c>
      <c r="N124" s="2" t="s">
        <v>35</v>
      </c>
      <c r="O124" s="2" t="s">
        <v>36</v>
      </c>
      <c r="P124" s="2" t="s">
        <v>44</v>
      </c>
      <c r="Q124" s="4">
        <v>15000</v>
      </c>
      <c r="R124" s="2" t="s">
        <v>38</v>
      </c>
      <c r="S124" s="4">
        <v>15000</v>
      </c>
      <c r="T124" s="2" t="s">
        <v>39</v>
      </c>
      <c r="U124" s="2" t="s">
        <v>40</v>
      </c>
      <c r="V124" s="2" t="s">
        <v>44</v>
      </c>
      <c r="W124" s="3">
        <v>0</v>
      </c>
      <c r="X124" s="3">
        <v>0</v>
      </c>
      <c r="Y124" s="2"/>
      <c r="Z124" s="3">
        <v>0</v>
      </c>
      <c r="AA124" s="2"/>
    </row>
    <row r="125" spans="1:27" ht="16.5" customHeight="1" x14ac:dyDescent="0.25">
      <c r="A125" s="2" t="s">
        <v>220</v>
      </c>
      <c r="B125" s="2" t="s">
        <v>26</v>
      </c>
      <c r="C125" s="2" t="s">
        <v>27</v>
      </c>
      <c r="D125" s="2" t="s">
        <v>27</v>
      </c>
      <c r="E125" s="2" t="s">
        <v>28</v>
      </c>
      <c r="F125" s="2" t="s">
        <v>29</v>
      </c>
      <c r="G125" s="2" t="s">
        <v>30</v>
      </c>
      <c r="H125" s="2" t="s">
        <v>31</v>
      </c>
      <c r="I125" s="2"/>
      <c r="J125" s="3">
        <v>43</v>
      </c>
      <c r="K125" s="2" t="s">
        <v>301</v>
      </c>
      <c r="L125" s="2" t="s">
        <v>302</v>
      </c>
      <c r="M125" s="2" t="s">
        <v>303</v>
      </c>
      <c r="N125" s="2" t="s">
        <v>35</v>
      </c>
      <c r="O125" s="2" t="s">
        <v>36</v>
      </c>
      <c r="P125" s="2" t="s">
        <v>44</v>
      </c>
      <c r="Q125" s="4">
        <v>2538</v>
      </c>
      <c r="R125" s="2" t="s">
        <v>38</v>
      </c>
      <c r="S125" s="4">
        <v>2538</v>
      </c>
      <c r="T125" s="2" t="s">
        <v>39</v>
      </c>
      <c r="U125" s="2" t="s">
        <v>40</v>
      </c>
      <c r="V125" s="2" t="s">
        <v>44</v>
      </c>
      <c r="W125" s="3">
        <v>0</v>
      </c>
      <c r="X125" s="3">
        <v>0</v>
      </c>
      <c r="Y125" s="2"/>
      <c r="Z125" s="3">
        <v>0</v>
      </c>
      <c r="AA125" s="2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08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320</v>
      </c>
    </row>
    <row r="2" spans="1:1" x14ac:dyDescent="0.25">
      <c r="A2" t="s">
        <v>321</v>
      </c>
    </row>
    <row r="3" spans="1:1" x14ac:dyDescent="0.25">
      <c r="A3" t="s">
        <v>322</v>
      </c>
    </row>
    <row r="4" spans="1:1" x14ac:dyDescent="0.25">
      <c r="A4" t="s">
        <v>323</v>
      </c>
    </row>
    <row r="5" spans="1:1" x14ac:dyDescent="0.25">
      <c r="A5" t="s">
        <v>324</v>
      </c>
    </row>
    <row r="6" spans="1:1" x14ac:dyDescent="0.25">
      <c r="A6" t="s">
        <v>325</v>
      </c>
    </row>
    <row r="7" spans="1:1" x14ac:dyDescent="0.25">
      <c r="A7" t="s">
        <v>326</v>
      </c>
    </row>
    <row r="8" spans="1:1" x14ac:dyDescent="0.25">
      <c r="A8" t="s">
        <v>327</v>
      </c>
    </row>
    <row r="9" spans="1:1" x14ac:dyDescent="0.25">
      <c r="A9" t="s">
        <v>328</v>
      </c>
    </row>
    <row r="10" spans="1:1" x14ac:dyDescent="0.25">
      <c r="A10" t="s">
        <v>329</v>
      </c>
    </row>
    <row r="11" spans="1:1" x14ac:dyDescent="0.25">
      <c r="A11" t="s">
        <v>330</v>
      </c>
    </row>
    <row r="12" spans="1:1" x14ac:dyDescent="0.25">
      <c r="A12" t="s">
        <v>331</v>
      </c>
    </row>
    <row r="13" spans="1:1" x14ac:dyDescent="0.25">
      <c r="A13" t="s">
        <v>332</v>
      </c>
    </row>
    <row r="14" spans="1:1" x14ac:dyDescent="0.25">
      <c r="A14" t="s">
        <v>333</v>
      </c>
    </row>
    <row r="15" spans="1:1" x14ac:dyDescent="0.25">
      <c r="A15" t="s">
        <v>334</v>
      </c>
    </row>
    <row r="16" spans="1:1" x14ac:dyDescent="0.25">
      <c r="A16" t="s">
        <v>335</v>
      </c>
    </row>
    <row r="17" spans="1:1" x14ac:dyDescent="0.25">
      <c r="A17" t="s">
        <v>336</v>
      </c>
    </row>
    <row r="18" spans="1:1" x14ac:dyDescent="0.25">
      <c r="A18" t="s">
        <v>337</v>
      </c>
    </row>
    <row r="19" spans="1:1" x14ac:dyDescent="0.25">
      <c r="A19" t="s">
        <v>338</v>
      </c>
    </row>
    <row r="20" spans="1:1" x14ac:dyDescent="0.25">
      <c r="A20" t="s">
        <v>339</v>
      </c>
    </row>
    <row r="21" spans="1:1" x14ac:dyDescent="0.25">
      <c r="A21" t="s">
        <v>340</v>
      </c>
    </row>
    <row r="22" spans="1:1" x14ac:dyDescent="0.25">
      <c r="A22" t="s">
        <v>341</v>
      </c>
    </row>
    <row r="23" spans="1:1" x14ac:dyDescent="0.25">
      <c r="A23" t="s">
        <v>342</v>
      </c>
    </row>
    <row r="24" spans="1:1" x14ac:dyDescent="0.25">
      <c r="A24" t="s">
        <v>343</v>
      </c>
    </row>
    <row r="25" spans="1:1" x14ac:dyDescent="0.25">
      <c r="A25" t="s">
        <v>344</v>
      </c>
    </row>
    <row r="26" spans="1:1" x14ac:dyDescent="0.25">
      <c r="A26" t="s">
        <v>345</v>
      </c>
    </row>
    <row r="27" spans="1:1" x14ac:dyDescent="0.25">
      <c r="A27" t="s">
        <v>346</v>
      </c>
    </row>
    <row r="28" spans="1:1" x14ac:dyDescent="0.25">
      <c r="A28" t="s">
        <v>347</v>
      </c>
    </row>
    <row r="29" spans="1:1" x14ac:dyDescent="0.25">
      <c r="A29" t="s">
        <v>348</v>
      </c>
    </row>
    <row r="30" spans="1:1" x14ac:dyDescent="0.25">
      <c r="A30" t="s">
        <v>349</v>
      </c>
    </row>
    <row r="31" spans="1:1" x14ac:dyDescent="0.25">
      <c r="A31" t="s">
        <v>350</v>
      </c>
    </row>
    <row r="32" spans="1:1" x14ac:dyDescent="0.25">
      <c r="A32" t="s">
        <v>351</v>
      </c>
    </row>
    <row r="33" spans="1:1" x14ac:dyDescent="0.25">
      <c r="A33" t="s">
        <v>352</v>
      </c>
    </row>
    <row r="34" spans="1:1" x14ac:dyDescent="0.25">
      <c r="A34" t="s">
        <v>353</v>
      </c>
    </row>
    <row r="35" spans="1:1" x14ac:dyDescent="0.25">
      <c r="A35" t="s">
        <v>354</v>
      </c>
    </row>
    <row r="36" spans="1:1" x14ac:dyDescent="0.25">
      <c r="A36" t="s">
        <v>355</v>
      </c>
    </row>
    <row r="37" spans="1:1" x14ac:dyDescent="0.25">
      <c r="A37" t="s">
        <v>356</v>
      </c>
    </row>
    <row r="38" spans="1:1" x14ac:dyDescent="0.25">
      <c r="A38" t="s">
        <v>357</v>
      </c>
    </row>
    <row r="39" spans="1:1" x14ac:dyDescent="0.25">
      <c r="A39" t="s">
        <v>358</v>
      </c>
    </row>
    <row r="40" spans="1:1" x14ac:dyDescent="0.25">
      <c r="A40" t="s">
        <v>359</v>
      </c>
    </row>
    <row r="41" spans="1:1" x14ac:dyDescent="0.25">
      <c r="A41" t="s">
        <v>360</v>
      </c>
    </row>
    <row r="42" spans="1:1" x14ac:dyDescent="0.25">
      <c r="A42" t="s">
        <v>361</v>
      </c>
    </row>
    <row r="43" spans="1:1" x14ac:dyDescent="0.25">
      <c r="A43" t="s">
        <v>362</v>
      </c>
    </row>
    <row r="44" spans="1:1" x14ac:dyDescent="0.25">
      <c r="A44" t="s">
        <v>363</v>
      </c>
    </row>
    <row r="45" spans="1:1" x14ac:dyDescent="0.25">
      <c r="A45" t="s">
        <v>364</v>
      </c>
    </row>
    <row r="46" spans="1:1" x14ac:dyDescent="0.25">
      <c r="A46" t="s">
        <v>365</v>
      </c>
    </row>
    <row r="47" spans="1:1" x14ac:dyDescent="0.25">
      <c r="A47" t="s">
        <v>366</v>
      </c>
    </row>
    <row r="48" spans="1:1" x14ac:dyDescent="0.25">
      <c r="A48" t="s">
        <v>367</v>
      </c>
    </row>
    <row r="49" spans="1:1" x14ac:dyDescent="0.25">
      <c r="A49" t="s">
        <v>368</v>
      </c>
    </row>
    <row r="50" spans="1:1" x14ac:dyDescent="0.25">
      <c r="A50" t="s">
        <v>369</v>
      </c>
    </row>
    <row r="51" spans="1:1" x14ac:dyDescent="0.25">
      <c r="A51" t="s">
        <v>370</v>
      </c>
    </row>
    <row r="52" spans="1:1" x14ac:dyDescent="0.25">
      <c r="A52" t="s">
        <v>371</v>
      </c>
    </row>
    <row r="53" spans="1:1" x14ac:dyDescent="0.25">
      <c r="A53" t="s">
        <v>372</v>
      </c>
    </row>
    <row r="54" spans="1:1" x14ac:dyDescent="0.25">
      <c r="A54" t="s">
        <v>373</v>
      </c>
    </row>
    <row r="55" spans="1:1" x14ac:dyDescent="0.25">
      <c r="A55" t="s">
        <v>374</v>
      </c>
    </row>
    <row r="56" spans="1:1" x14ac:dyDescent="0.25">
      <c r="A56" t="s">
        <v>375</v>
      </c>
    </row>
    <row r="57" spans="1:1" x14ac:dyDescent="0.25">
      <c r="A57" t="s">
        <v>376</v>
      </c>
    </row>
    <row r="58" spans="1:1" x14ac:dyDescent="0.25">
      <c r="A58" t="s">
        <v>377</v>
      </c>
    </row>
    <row r="59" spans="1:1" x14ac:dyDescent="0.25">
      <c r="A59" t="s">
        <v>378</v>
      </c>
    </row>
    <row r="60" spans="1:1" x14ac:dyDescent="0.25">
      <c r="A60" t="s">
        <v>379</v>
      </c>
    </row>
    <row r="61" spans="1:1" x14ac:dyDescent="0.25">
      <c r="A61" t="s">
        <v>380</v>
      </c>
    </row>
    <row r="62" spans="1:1" x14ac:dyDescent="0.25">
      <c r="A62" t="s">
        <v>381</v>
      </c>
    </row>
    <row r="63" spans="1:1" x14ac:dyDescent="0.25">
      <c r="A63" t="s">
        <v>382</v>
      </c>
    </row>
    <row r="64" spans="1:1" x14ac:dyDescent="0.25">
      <c r="A64" t="s">
        <v>383</v>
      </c>
    </row>
    <row r="65" spans="1:1" x14ac:dyDescent="0.25">
      <c r="A65" t="s">
        <v>384</v>
      </c>
    </row>
    <row r="66" spans="1:1" x14ac:dyDescent="0.25">
      <c r="A66" t="s">
        <v>385</v>
      </c>
    </row>
    <row r="67" spans="1:1" x14ac:dyDescent="0.25">
      <c r="A67" t="s">
        <v>386</v>
      </c>
    </row>
    <row r="68" spans="1:1" x14ac:dyDescent="0.25">
      <c r="A68" t="s">
        <v>387</v>
      </c>
    </row>
    <row r="69" spans="1:1" x14ac:dyDescent="0.25">
      <c r="A69" t="s">
        <v>388</v>
      </c>
    </row>
    <row r="70" spans="1:1" x14ac:dyDescent="0.25">
      <c r="A70" t="s">
        <v>389</v>
      </c>
    </row>
    <row r="71" spans="1:1" x14ac:dyDescent="0.25">
      <c r="A71" t="s">
        <v>390</v>
      </c>
    </row>
    <row r="72" spans="1:1" x14ac:dyDescent="0.25">
      <c r="A72" t="s">
        <v>391</v>
      </c>
    </row>
    <row r="73" spans="1:1" x14ac:dyDescent="0.25">
      <c r="A73" t="s">
        <v>392</v>
      </c>
    </row>
    <row r="74" spans="1:1" x14ac:dyDescent="0.25">
      <c r="A74" t="s">
        <v>393</v>
      </c>
    </row>
    <row r="75" spans="1:1" x14ac:dyDescent="0.25">
      <c r="A75" t="s">
        <v>394</v>
      </c>
    </row>
    <row r="76" spans="1:1" x14ac:dyDescent="0.25">
      <c r="A76" t="s">
        <v>395</v>
      </c>
    </row>
    <row r="77" spans="1:1" x14ac:dyDescent="0.25">
      <c r="A77" t="s">
        <v>396</v>
      </c>
    </row>
    <row r="78" spans="1:1" x14ac:dyDescent="0.25">
      <c r="A78" t="s">
        <v>397</v>
      </c>
    </row>
    <row r="79" spans="1:1" x14ac:dyDescent="0.25">
      <c r="A79" t="s">
        <v>398</v>
      </c>
    </row>
    <row r="80" spans="1:1" x14ac:dyDescent="0.25">
      <c r="A80" t="s">
        <v>399</v>
      </c>
    </row>
    <row r="81" spans="1:1" x14ac:dyDescent="0.25">
      <c r="A81" t="s">
        <v>400</v>
      </c>
    </row>
    <row r="82" spans="1:1" x14ac:dyDescent="0.25">
      <c r="A82" t="s">
        <v>401</v>
      </c>
    </row>
    <row r="83" spans="1:1" x14ac:dyDescent="0.25">
      <c r="A83" t="s">
        <v>402</v>
      </c>
    </row>
    <row r="84" spans="1:1" x14ac:dyDescent="0.25">
      <c r="A84" t="s">
        <v>403</v>
      </c>
    </row>
    <row r="85" spans="1:1" x14ac:dyDescent="0.25">
      <c r="A85" t="s">
        <v>404</v>
      </c>
    </row>
    <row r="86" spans="1:1" x14ac:dyDescent="0.25">
      <c r="A86" t="s">
        <v>405</v>
      </c>
    </row>
    <row r="87" spans="1:1" x14ac:dyDescent="0.25">
      <c r="A87" t="s">
        <v>406</v>
      </c>
    </row>
    <row r="88" spans="1:1" x14ac:dyDescent="0.25">
      <c r="A88" t="s">
        <v>407</v>
      </c>
    </row>
    <row r="89" spans="1:1" x14ac:dyDescent="0.25">
      <c r="A89" t="s">
        <v>408</v>
      </c>
    </row>
    <row r="90" spans="1:1" x14ac:dyDescent="0.25">
      <c r="A90" t="s">
        <v>409</v>
      </c>
    </row>
    <row r="91" spans="1:1" x14ac:dyDescent="0.25">
      <c r="A91" t="s">
        <v>410</v>
      </c>
    </row>
    <row r="92" spans="1:1" x14ac:dyDescent="0.25">
      <c r="A92" t="s">
        <v>411</v>
      </c>
    </row>
    <row r="93" spans="1:1" x14ac:dyDescent="0.25">
      <c r="A93" t="s">
        <v>412</v>
      </c>
    </row>
    <row r="94" spans="1:1" x14ac:dyDescent="0.25">
      <c r="A94" t="s">
        <v>413</v>
      </c>
    </row>
    <row r="95" spans="1:1" x14ac:dyDescent="0.25">
      <c r="A95" t="s">
        <v>414</v>
      </c>
    </row>
    <row r="96" spans="1:1" x14ac:dyDescent="0.25">
      <c r="A96" t="s">
        <v>415</v>
      </c>
    </row>
    <row r="97" spans="1:1" x14ac:dyDescent="0.25">
      <c r="A97" t="s">
        <v>416</v>
      </c>
    </row>
    <row r="98" spans="1:1" x14ac:dyDescent="0.25">
      <c r="A98" t="s">
        <v>417</v>
      </c>
    </row>
    <row r="99" spans="1:1" x14ac:dyDescent="0.25">
      <c r="A99" t="s">
        <v>418</v>
      </c>
    </row>
    <row r="100" spans="1:1" x14ac:dyDescent="0.25">
      <c r="A100" t="s">
        <v>419</v>
      </c>
    </row>
    <row r="101" spans="1:1" x14ac:dyDescent="0.25">
      <c r="A101" t="s">
        <v>420</v>
      </c>
    </row>
    <row r="102" spans="1:1" x14ac:dyDescent="0.25">
      <c r="A102" t="s">
        <v>421</v>
      </c>
    </row>
    <row r="103" spans="1:1" x14ac:dyDescent="0.25">
      <c r="A103" t="s">
        <v>422</v>
      </c>
    </row>
    <row r="104" spans="1:1" x14ac:dyDescent="0.25">
      <c r="A104" t="s">
        <v>423</v>
      </c>
    </row>
    <row r="105" spans="1:1" x14ac:dyDescent="0.25">
      <c r="A105" t="s">
        <v>424</v>
      </c>
    </row>
    <row r="106" spans="1:1" x14ac:dyDescent="0.25">
      <c r="A106" t="s">
        <v>425</v>
      </c>
    </row>
    <row r="107" spans="1:1" x14ac:dyDescent="0.25">
      <c r="A107" t="s">
        <v>426</v>
      </c>
    </row>
    <row r="108" spans="1:1" x14ac:dyDescent="0.25">
      <c r="A108" t="s">
        <v>427</v>
      </c>
    </row>
    <row r="109" spans="1:1" x14ac:dyDescent="0.25">
      <c r="A109" t="s">
        <v>428</v>
      </c>
    </row>
    <row r="110" spans="1:1" x14ac:dyDescent="0.25">
      <c r="A110" t="s">
        <v>429</v>
      </c>
    </row>
    <row r="111" spans="1:1" x14ac:dyDescent="0.25">
      <c r="A111" t="s">
        <v>430</v>
      </c>
    </row>
    <row r="112" spans="1:1" x14ac:dyDescent="0.25">
      <c r="A112" t="s">
        <v>431</v>
      </c>
    </row>
    <row r="113" spans="1:1" x14ac:dyDescent="0.25">
      <c r="A113" t="s">
        <v>432</v>
      </c>
    </row>
    <row r="114" spans="1:1" x14ac:dyDescent="0.25">
      <c r="A114" t="s">
        <v>433</v>
      </c>
    </row>
    <row r="115" spans="1:1" x14ac:dyDescent="0.25">
      <c r="A115" t="s">
        <v>434</v>
      </c>
    </row>
    <row r="116" spans="1:1" x14ac:dyDescent="0.25">
      <c r="A116" t="s">
        <v>435</v>
      </c>
    </row>
    <row r="117" spans="1:1" x14ac:dyDescent="0.25">
      <c r="A117" t="s">
        <v>436</v>
      </c>
    </row>
    <row r="118" spans="1:1" x14ac:dyDescent="0.25">
      <c r="A118" t="s">
        <v>437</v>
      </c>
    </row>
    <row r="119" spans="1:1" x14ac:dyDescent="0.25">
      <c r="A119" t="s">
        <v>438</v>
      </c>
    </row>
    <row r="120" spans="1:1" x14ac:dyDescent="0.25">
      <c r="A120" t="s">
        <v>439</v>
      </c>
    </row>
    <row r="121" spans="1:1" x14ac:dyDescent="0.25">
      <c r="A121" t="s">
        <v>440</v>
      </c>
    </row>
    <row r="122" spans="1:1" x14ac:dyDescent="0.25">
      <c r="A122" t="s">
        <v>441</v>
      </c>
    </row>
    <row r="123" spans="1:1" x14ac:dyDescent="0.25">
      <c r="A123" t="s">
        <v>442</v>
      </c>
    </row>
    <row r="124" spans="1:1" x14ac:dyDescent="0.25">
      <c r="A124" t="s">
        <v>443</v>
      </c>
    </row>
    <row r="125" spans="1:1" x14ac:dyDescent="0.25">
      <c r="A125" t="s">
        <v>444</v>
      </c>
    </row>
    <row r="126" spans="1:1" x14ac:dyDescent="0.25">
      <c r="A126" t="s">
        <v>445</v>
      </c>
    </row>
    <row r="127" spans="1:1" x14ac:dyDescent="0.25">
      <c r="A127" t="s">
        <v>446</v>
      </c>
    </row>
    <row r="128" spans="1:1" x14ac:dyDescent="0.25">
      <c r="A128" t="s">
        <v>447</v>
      </c>
    </row>
    <row r="129" spans="1:1" x14ac:dyDescent="0.25">
      <c r="A129" t="s">
        <v>448</v>
      </c>
    </row>
    <row r="130" spans="1:1" x14ac:dyDescent="0.25">
      <c r="A130" t="s">
        <v>449</v>
      </c>
    </row>
    <row r="131" spans="1:1" x14ac:dyDescent="0.25">
      <c r="A131" t="s">
        <v>450</v>
      </c>
    </row>
    <row r="132" spans="1:1" x14ac:dyDescent="0.25">
      <c r="A132" t="s">
        <v>451</v>
      </c>
    </row>
    <row r="133" spans="1:1" x14ac:dyDescent="0.25">
      <c r="A133" t="s">
        <v>452</v>
      </c>
    </row>
    <row r="134" spans="1:1" x14ac:dyDescent="0.25">
      <c r="A134" t="s">
        <v>453</v>
      </c>
    </row>
    <row r="135" spans="1:1" x14ac:dyDescent="0.25">
      <c r="A135" t="s">
        <v>454</v>
      </c>
    </row>
    <row r="136" spans="1:1" x14ac:dyDescent="0.25">
      <c r="A136" t="s">
        <v>455</v>
      </c>
    </row>
    <row r="137" spans="1:1" x14ac:dyDescent="0.25">
      <c r="A137" t="s">
        <v>456</v>
      </c>
    </row>
    <row r="138" spans="1:1" x14ac:dyDescent="0.25">
      <c r="A138" t="s">
        <v>457</v>
      </c>
    </row>
    <row r="139" spans="1:1" x14ac:dyDescent="0.25">
      <c r="A139" t="s">
        <v>458</v>
      </c>
    </row>
    <row r="140" spans="1:1" x14ac:dyDescent="0.25">
      <c r="A140" t="s">
        <v>459</v>
      </c>
    </row>
    <row r="141" spans="1:1" x14ac:dyDescent="0.25">
      <c r="A141" t="s">
        <v>460</v>
      </c>
    </row>
    <row r="142" spans="1:1" x14ac:dyDescent="0.25">
      <c r="A142" t="s">
        <v>461</v>
      </c>
    </row>
    <row r="143" spans="1:1" x14ac:dyDescent="0.25">
      <c r="A143" t="s">
        <v>462</v>
      </c>
    </row>
    <row r="144" spans="1:1" x14ac:dyDescent="0.25">
      <c r="A144" t="s">
        <v>463</v>
      </c>
    </row>
    <row r="145" spans="1:1" x14ac:dyDescent="0.25">
      <c r="A145" t="s">
        <v>464</v>
      </c>
    </row>
    <row r="146" spans="1:1" x14ac:dyDescent="0.25">
      <c r="A146" t="s">
        <v>465</v>
      </c>
    </row>
    <row r="147" spans="1:1" x14ac:dyDescent="0.25">
      <c r="A147" t="s">
        <v>466</v>
      </c>
    </row>
    <row r="148" spans="1:1" x14ac:dyDescent="0.25">
      <c r="A148" t="s">
        <v>467</v>
      </c>
    </row>
    <row r="149" spans="1:1" x14ac:dyDescent="0.25">
      <c r="A149" t="s">
        <v>468</v>
      </c>
    </row>
    <row r="150" spans="1:1" x14ac:dyDescent="0.25">
      <c r="A150" t="s">
        <v>469</v>
      </c>
    </row>
    <row r="151" spans="1:1" x14ac:dyDescent="0.25">
      <c r="A151" t="s">
        <v>470</v>
      </c>
    </row>
    <row r="152" spans="1:1" x14ac:dyDescent="0.25">
      <c r="A152" t="s">
        <v>471</v>
      </c>
    </row>
    <row r="153" spans="1:1" x14ac:dyDescent="0.25">
      <c r="A153" t="s">
        <v>472</v>
      </c>
    </row>
    <row r="154" spans="1:1" x14ac:dyDescent="0.25">
      <c r="A154" t="s">
        <v>473</v>
      </c>
    </row>
    <row r="155" spans="1:1" x14ac:dyDescent="0.25">
      <c r="A155" t="s">
        <v>474</v>
      </c>
    </row>
    <row r="156" spans="1:1" x14ac:dyDescent="0.25">
      <c r="A156" t="s">
        <v>475</v>
      </c>
    </row>
    <row r="157" spans="1:1" x14ac:dyDescent="0.25">
      <c r="A157" t="s">
        <v>476</v>
      </c>
    </row>
    <row r="158" spans="1:1" x14ac:dyDescent="0.25">
      <c r="A158" t="s">
        <v>477</v>
      </c>
    </row>
    <row r="159" spans="1:1" x14ac:dyDescent="0.25">
      <c r="A159" t="s">
        <v>478</v>
      </c>
    </row>
    <row r="160" spans="1:1" x14ac:dyDescent="0.25">
      <c r="A160" t="s">
        <v>479</v>
      </c>
    </row>
    <row r="161" spans="1:1" x14ac:dyDescent="0.25">
      <c r="A161" t="s">
        <v>480</v>
      </c>
    </row>
    <row r="162" spans="1:1" x14ac:dyDescent="0.25">
      <c r="A162" t="s">
        <v>481</v>
      </c>
    </row>
    <row r="163" spans="1:1" x14ac:dyDescent="0.25">
      <c r="A163" t="s">
        <v>482</v>
      </c>
    </row>
    <row r="164" spans="1:1" x14ac:dyDescent="0.25">
      <c r="A164" t="s">
        <v>483</v>
      </c>
    </row>
    <row r="165" spans="1:1" x14ac:dyDescent="0.25">
      <c r="A165" t="s">
        <v>484</v>
      </c>
    </row>
    <row r="166" spans="1:1" x14ac:dyDescent="0.25">
      <c r="A166" t="s">
        <v>485</v>
      </c>
    </row>
    <row r="167" spans="1:1" x14ac:dyDescent="0.25">
      <c r="A167" t="s">
        <v>486</v>
      </c>
    </row>
    <row r="168" spans="1:1" x14ac:dyDescent="0.25">
      <c r="A168" t="s">
        <v>487</v>
      </c>
    </row>
    <row r="169" spans="1:1" x14ac:dyDescent="0.25">
      <c r="A169" t="s">
        <v>488</v>
      </c>
    </row>
    <row r="170" spans="1:1" x14ac:dyDescent="0.25">
      <c r="A170" t="s">
        <v>489</v>
      </c>
    </row>
    <row r="171" spans="1:1" x14ac:dyDescent="0.25">
      <c r="A171" t="s">
        <v>490</v>
      </c>
    </row>
    <row r="172" spans="1:1" x14ac:dyDescent="0.25">
      <c r="A172" t="s">
        <v>491</v>
      </c>
    </row>
    <row r="173" spans="1:1" x14ac:dyDescent="0.25">
      <c r="A173" t="s">
        <v>492</v>
      </c>
    </row>
    <row r="174" spans="1:1" x14ac:dyDescent="0.25">
      <c r="A174" t="s">
        <v>493</v>
      </c>
    </row>
    <row r="175" spans="1:1" x14ac:dyDescent="0.25">
      <c r="A175" t="s">
        <v>494</v>
      </c>
    </row>
    <row r="176" spans="1:1" x14ac:dyDescent="0.25">
      <c r="A176" t="s">
        <v>495</v>
      </c>
    </row>
    <row r="177" spans="1:1" x14ac:dyDescent="0.25">
      <c r="A177" t="s">
        <v>496</v>
      </c>
    </row>
    <row r="178" spans="1:1" x14ac:dyDescent="0.25">
      <c r="A178" t="s">
        <v>497</v>
      </c>
    </row>
    <row r="179" spans="1:1" x14ac:dyDescent="0.25">
      <c r="A179" t="s">
        <v>498</v>
      </c>
    </row>
    <row r="180" spans="1:1" x14ac:dyDescent="0.25">
      <c r="A180" t="s">
        <v>499</v>
      </c>
    </row>
    <row r="181" spans="1:1" x14ac:dyDescent="0.25">
      <c r="A181" t="s">
        <v>500</v>
      </c>
    </row>
    <row r="182" spans="1:1" x14ac:dyDescent="0.25">
      <c r="A182" t="s">
        <v>501</v>
      </c>
    </row>
    <row r="183" spans="1:1" x14ac:dyDescent="0.25">
      <c r="A183" t="s">
        <v>502</v>
      </c>
    </row>
    <row r="184" spans="1:1" x14ac:dyDescent="0.25">
      <c r="A184" t="s">
        <v>503</v>
      </c>
    </row>
    <row r="185" spans="1:1" x14ac:dyDescent="0.25">
      <c r="A185" t="s">
        <v>504</v>
      </c>
    </row>
    <row r="186" spans="1:1" x14ac:dyDescent="0.25">
      <c r="A186" t="s">
        <v>505</v>
      </c>
    </row>
    <row r="187" spans="1:1" x14ac:dyDescent="0.25">
      <c r="A187" t="s">
        <v>506</v>
      </c>
    </row>
    <row r="188" spans="1:1" x14ac:dyDescent="0.25">
      <c r="A188" t="s">
        <v>507</v>
      </c>
    </row>
    <row r="189" spans="1:1" x14ac:dyDescent="0.25">
      <c r="A189" t="s">
        <v>508</v>
      </c>
    </row>
    <row r="190" spans="1:1" x14ac:dyDescent="0.25">
      <c r="A190" t="s">
        <v>509</v>
      </c>
    </row>
    <row r="191" spans="1:1" x14ac:dyDescent="0.25">
      <c r="A191" t="s">
        <v>510</v>
      </c>
    </row>
    <row r="192" spans="1:1" x14ac:dyDescent="0.25">
      <c r="A192" t="s">
        <v>511</v>
      </c>
    </row>
    <row r="193" spans="1:1" x14ac:dyDescent="0.25">
      <c r="A193" t="s">
        <v>512</v>
      </c>
    </row>
    <row r="194" spans="1:1" x14ac:dyDescent="0.25">
      <c r="A194" t="s">
        <v>513</v>
      </c>
    </row>
    <row r="195" spans="1:1" x14ac:dyDescent="0.25">
      <c r="A195" t="s">
        <v>514</v>
      </c>
    </row>
    <row r="196" spans="1:1" x14ac:dyDescent="0.25">
      <c r="A196" t="s">
        <v>515</v>
      </c>
    </row>
    <row r="197" spans="1:1" x14ac:dyDescent="0.25">
      <c r="A197" t="s">
        <v>516</v>
      </c>
    </row>
    <row r="198" spans="1:1" x14ac:dyDescent="0.25">
      <c r="A198" t="s">
        <v>517</v>
      </c>
    </row>
    <row r="199" spans="1:1" x14ac:dyDescent="0.25">
      <c r="A199" t="s">
        <v>518</v>
      </c>
    </row>
    <row r="200" spans="1:1" x14ac:dyDescent="0.25">
      <c r="A200" t="s">
        <v>519</v>
      </c>
    </row>
    <row r="201" spans="1:1" x14ac:dyDescent="0.25">
      <c r="A201" t="s">
        <v>520</v>
      </c>
    </row>
    <row r="202" spans="1:1" x14ac:dyDescent="0.25">
      <c r="A202" t="s">
        <v>521</v>
      </c>
    </row>
    <row r="203" spans="1:1" x14ac:dyDescent="0.25">
      <c r="A203" t="s">
        <v>522</v>
      </c>
    </row>
    <row r="204" spans="1:1" x14ac:dyDescent="0.25">
      <c r="A204" t="s">
        <v>523</v>
      </c>
    </row>
    <row r="205" spans="1:1" x14ac:dyDescent="0.25">
      <c r="A205" t="s">
        <v>524</v>
      </c>
    </row>
    <row r="206" spans="1:1" x14ac:dyDescent="0.25">
      <c r="A206" t="s">
        <v>525</v>
      </c>
    </row>
    <row r="207" spans="1:1" x14ac:dyDescent="0.25">
      <c r="A207" t="s">
        <v>526</v>
      </c>
    </row>
    <row r="208" spans="1:1" x14ac:dyDescent="0.25">
      <c r="A208" t="s">
        <v>527</v>
      </c>
    </row>
    <row r="209" spans="1:1" x14ac:dyDescent="0.25">
      <c r="A209" t="s">
        <v>528</v>
      </c>
    </row>
    <row r="210" spans="1:1" x14ac:dyDescent="0.25">
      <c r="A210" t="s">
        <v>529</v>
      </c>
    </row>
    <row r="211" spans="1:1" x14ac:dyDescent="0.25">
      <c r="A211" t="s">
        <v>530</v>
      </c>
    </row>
    <row r="212" spans="1:1" x14ac:dyDescent="0.25">
      <c r="A212" t="s">
        <v>531</v>
      </c>
    </row>
    <row r="213" spans="1:1" x14ac:dyDescent="0.25">
      <c r="A213" t="s">
        <v>532</v>
      </c>
    </row>
    <row r="214" spans="1:1" x14ac:dyDescent="0.25">
      <c r="A214" t="s">
        <v>533</v>
      </c>
    </row>
    <row r="215" spans="1:1" x14ac:dyDescent="0.25">
      <c r="A215" t="s">
        <v>534</v>
      </c>
    </row>
    <row r="216" spans="1:1" x14ac:dyDescent="0.25">
      <c r="A216" t="s">
        <v>535</v>
      </c>
    </row>
    <row r="217" spans="1:1" x14ac:dyDescent="0.25">
      <c r="A217" t="s">
        <v>536</v>
      </c>
    </row>
    <row r="218" spans="1:1" x14ac:dyDescent="0.25">
      <c r="A218" t="s">
        <v>537</v>
      </c>
    </row>
    <row r="219" spans="1:1" x14ac:dyDescent="0.25">
      <c r="A219" t="s">
        <v>538</v>
      </c>
    </row>
    <row r="220" spans="1:1" x14ac:dyDescent="0.25">
      <c r="A220" t="s">
        <v>539</v>
      </c>
    </row>
    <row r="221" spans="1:1" x14ac:dyDescent="0.25">
      <c r="A221" t="s">
        <v>540</v>
      </c>
    </row>
    <row r="222" spans="1:1" x14ac:dyDescent="0.25">
      <c r="A222" t="s">
        <v>541</v>
      </c>
    </row>
    <row r="223" spans="1:1" x14ac:dyDescent="0.25">
      <c r="A223" t="s">
        <v>542</v>
      </c>
    </row>
    <row r="224" spans="1:1" x14ac:dyDescent="0.25">
      <c r="A224" t="s">
        <v>543</v>
      </c>
    </row>
    <row r="225" spans="1:1" x14ac:dyDescent="0.25">
      <c r="A225" t="s">
        <v>544</v>
      </c>
    </row>
    <row r="226" spans="1:1" x14ac:dyDescent="0.25">
      <c r="A226" t="s">
        <v>545</v>
      </c>
    </row>
    <row r="227" spans="1:1" x14ac:dyDescent="0.25">
      <c r="A227" t="s">
        <v>546</v>
      </c>
    </row>
    <row r="228" spans="1:1" x14ac:dyDescent="0.25">
      <c r="A228" t="s">
        <v>547</v>
      </c>
    </row>
    <row r="229" spans="1:1" x14ac:dyDescent="0.25">
      <c r="A229" t="s">
        <v>548</v>
      </c>
    </row>
    <row r="230" spans="1:1" x14ac:dyDescent="0.25">
      <c r="A230" t="s">
        <v>549</v>
      </c>
    </row>
    <row r="231" spans="1:1" x14ac:dyDescent="0.25">
      <c r="A231" t="s">
        <v>550</v>
      </c>
    </row>
    <row r="232" spans="1:1" x14ac:dyDescent="0.25">
      <c r="A232" t="s">
        <v>551</v>
      </c>
    </row>
    <row r="233" spans="1:1" x14ac:dyDescent="0.25">
      <c r="A233" t="s">
        <v>552</v>
      </c>
    </row>
    <row r="234" spans="1:1" x14ac:dyDescent="0.25">
      <c r="A234" t="s">
        <v>553</v>
      </c>
    </row>
    <row r="235" spans="1:1" x14ac:dyDescent="0.25">
      <c r="A235" t="s">
        <v>554</v>
      </c>
    </row>
    <row r="236" spans="1:1" x14ac:dyDescent="0.25">
      <c r="A236" t="s">
        <v>555</v>
      </c>
    </row>
    <row r="237" spans="1:1" x14ac:dyDescent="0.25">
      <c r="A237" t="s">
        <v>556</v>
      </c>
    </row>
    <row r="238" spans="1:1" x14ac:dyDescent="0.25">
      <c r="A238" t="s">
        <v>557</v>
      </c>
    </row>
    <row r="239" spans="1:1" x14ac:dyDescent="0.25">
      <c r="A239" t="s">
        <v>558</v>
      </c>
    </row>
    <row r="240" spans="1:1" x14ac:dyDescent="0.25">
      <c r="A240" t="s">
        <v>559</v>
      </c>
    </row>
    <row r="241" spans="1:1" x14ac:dyDescent="0.25">
      <c r="A241" t="s">
        <v>560</v>
      </c>
    </row>
    <row r="242" spans="1:1" x14ac:dyDescent="0.25">
      <c r="A242" t="s">
        <v>561</v>
      </c>
    </row>
    <row r="243" spans="1:1" x14ac:dyDescent="0.25">
      <c r="A243" t="s">
        <v>562</v>
      </c>
    </row>
    <row r="244" spans="1:1" x14ac:dyDescent="0.25">
      <c r="A244" t="s">
        <v>563</v>
      </c>
    </row>
    <row r="245" spans="1:1" x14ac:dyDescent="0.25">
      <c r="A245" t="s">
        <v>564</v>
      </c>
    </row>
    <row r="246" spans="1:1" x14ac:dyDescent="0.25">
      <c r="A246" t="s">
        <v>565</v>
      </c>
    </row>
    <row r="247" spans="1:1" x14ac:dyDescent="0.25">
      <c r="A247" t="s">
        <v>566</v>
      </c>
    </row>
    <row r="248" spans="1:1" x14ac:dyDescent="0.25">
      <c r="A248" t="s">
        <v>567</v>
      </c>
    </row>
    <row r="249" spans="1:1" x14ac:dyDescent="0.25">
      <c r="A249" t="s">
        <v>568</v>
      </c>
    </row>
    <row r="250" spans="1:1" x14ac:dyDescent="0.25">
      <c r="A250" t="s">
        <v>569</v>
      </c>
    </row>
    <row r="251" spans="1:1" x14ac:dyDescent="0.25">
      <c r="A251" t="s">
        <v>570</v>
      </c>
    </row>
    <row r="252" spans="1:1" x14ac:dyDescent="0.25">
      <c r="A252" t="s">
        <v>571</v>
      </c>
    </row>
    <row r="253" spans="1:1" x14ac:dyDescent="0.25">
      <c r="A253" t="s">
        <v>572</v>
      </c>
    </row>
    <row r="254" spans="1:1" x14ac:dyDescent="0.25">
      <c r="A254" t="s">
        <v>573</v>
      </c>
    </row>
    <row r="255" spans="1:1" x14ac:dyDescent="0.25">
      <c r="A255" t="s">
        <v>574</v>
      </c>
    </row>
    <row r="256" spans="1:1" x14ac:dyDescent="0.25">
      <c r="A256" t="s">
        <v>575</v>
      </c>
    </row>
    <row r="257" spans="1:1" x14ac:dyDescent="0.25">
      <c r="A257" t="s">
        <v>576</v>
      </c>
    </row>
    <row r="258" spans="1:1" x14ac:dyDescent="0.25">
      <c r="A258" t="s">
        <v>577</v>
      </c>
    </row>
    <row r="259" spans="1:1" x14ac:dyDescent="0.25">
      <c r="A259" t="s">
        <v>578</v>
      </c>
    </row>
    <row r="260" spans="1:1" x14ac:dyDescent="0.25">
      <c r="A260" t="s">
        <v>579</v>
      </c>
    </row>
    <row r="261" spans="1:1" x14ac:dyDescent="0.25">
      <c r="A261" t="s">
        <v>580</v>
      </c>
    </row>
    <row r="262" spans="1:1" x14ac:dyDescent="0.25">
      <c r="A262" t="s">
        <v>581</v>
      </c>
    </row>
    <row r="263" spans="1:1" x14ac:dyDescent="0.25">
      <c r="A263" t="s">
        <v>582</v>
      </c>
    </row>
    <row r="264" spans="1:1" x14ac:dyDescent="0.25">
      <c r="A264" t="s">
        <v>583</v>
      </c>
    </row>
    <row r="265" spans="1:1" x14ac:dyDescent="0.25">
      <c r="A265" t="s">
        <v>584</v>
      </c>
    </row>
    <row r="266" spans="1:1" x14ac:dyDescent="0.25">
      <c r="A266" t="s">
        <v>585</v>
      </c>
    </row>
    <row r="267" spans="1:1" x14ac:dyDescent="0.25">
      <c r="A267" t="s">
        <v>586</v>
      </c>
    </row>
    <row r="268" spans="1:1" x14ac:dyDescent="0.25">
      <c r="A268" t="s">
        <v>587</v>
      </c>
    </row>
    <row r="269" spans="1:1" x14ac:dyDescent="0.25">
      <c r="A269" t="s">
        <v>588</v>
      </c>
    </row>
    <row r="270" spans="1:1" x14ac:dyDescent="0.25">
      <c r="A270" t="s">
        <v>589</v>
      </c>
    </row>
    <row r="271" spans="1:1" x14ac:dyDescent="0.25">
      <c r="A271" t="s">
        <v>590</v>
      </c>
    </row>
    <row r="272" spans="1:1" x14ac:dyDescent="0.25">
      <c r="A272" t="s">
        <v>591</v>
      </c>
    </row>
    <row r="273" spans="1:1" x14ac:dyDescent="0.25">
      <c r="A273" t="s">
        <v>592</v>
      </c>
    </row>
    <row r="274" spans="1:1" x14ac:dyDescent="0.25">
      <c r="A274" t="s">
        <v>593</v>
      </c>
    </row>
    <row r="275" spans="1:1" x14ac:dyDescent="0.25">
      <c r="A275" t="s">
        <v>594</v>
      </c>
    </row>
    <row r="276" spans="1:1" x14ac:dyDescent="0.25">
      <c r="A276" t="s">
        <v>595</v>
      </c>
    </row>
    <row r="277" spans="1:1" x14ac:dyDescent="0.25">
      <c r="A277" t="s">
        <v>596</v>
      </c>
    </row>
    <row r="278" spans="1:1" x14ac:dyDescent="0.25">
      <c r="A278" t="s">
        <v>597</v>
      </c>
    </row>
    <row r="279" spans="1:1" x14ac:dyDescent="0.25">
      <c r="A279" t="s">
        <v>598</v>
      </c>
    </row>
    <row r="280" spans="1:1" x14ac:dyDescent="0.25">
      <c r="A280" t="s">
        <v>599</v>
      </c>
    </row>
    <row r="281" spans="1:1" x14ac:dyDescent="0.25">
      <c r="A281" t="s">
        <v>600</v>
      </c>
    </row>
    <row r="282" spans="1:1" x14ac:dyDescent="0.25">
      <c r="A282" t="s">
        <v>601</v>
      </c>
    </row>
    <row r="283" spans="1:1" x14ac:dyDescent="0.25">
      <c r="A283" t="s">
        <v>602</v>
      </c>
    </row>
    <row r="284" spans="1:1" x14ac:dyDescent="0.25">
      <c r="A284" t="s">
        <v>603</v>
      </c>
    </row>
    <row r="285" spans="1:1" x14ac:dyDescent="0.25">
      <c r="A285" t="s">
        <v>604</v>
      </c>
    </row>
    <row r="286" spans="1:1" x14ac:dyDescent="0.25">
      <c r="A286" t="s">
        <v>605</v>
      </c>
    </row>
    <row r="287" spans="1:1" x14ac:dyDescent="0.25">
      <c r="A287" t="s">
        <v>606</v>
      </c>
    </row>
    <row r="288" spans="1:1" x14ac:dyDescent="0.25">
      <c r="A288" t="s">
        <v>607</v>
      </c>
    </row>
    <row r="289" spans="1:1" x14ac:dyDescent="0.25">
      <c r="A289" t="s">
        <v>608</v>
      </c>
    </row>
    <row r="290" spans="1:1" x14ac:dyDescent="0.25">
      <c r="A290" t="s">
        <v>609</v>
      </c>
    </row>
    <row r="291" spans="1:1" x14ac:dyDescent="0.25">
      <c r="A291" t="s">
        <v>610</v>
      </c>
    </row>
    <row r="292" spans="1:1" x14ac:dyDescent="0.25">
      <c r="A292" t="s">
        <v>611</v>
      </c>
    </row>
    <row r="293" spans="1:1" x14ac:dyDescent="0.25">
      <c r="A293" t="s">
        <v>612</v>
      </c>
    </row>
    <row r="294" spans="1:1" x14ac:dyDescent="0.25">
      <c r="A294" t="s">
        <v>613</v>
      </c>
    </row>
    <row r="295" spans="1:1" x14ac:dyDescent="0.25">
      <c r="A295" t="s">
        <v>614</v>
      </c>
    </row>
    <row r="296" spans="1:1" x14ac:dyDescent="0.25">
      <c r="A296" t="s">
        <v>615</v>
      </c>
    </row>
    <row r="297" spans="1:1" x14ac:dyDescent="0.25">
      <c r="A297" t="s">
        <v>616</v>
      </c>
    </row>
    <row r="298" spans="1:1" x14ac:dyDescent="0.25">
      <c r="A298" t="s">
        <v>617</v>
      </c>
    </row>
    <row r="299" spans="1:1" x14ac:dyDescent="0.25">
      <c r="A299" t="s">
        <v>618</v>
      </c>
    </row>
    <row r="300" spans="1:1" x14ac:dyDescent="0.25">
      <c r="A300" t="s">
        <v>619</v>
      </c>
    </row>
    <row r="301" spans="1:1" x14ac:dyDescent="0.25">
      <c r="A301" t="s">
        <v>620</v>
      </c>
    </row>
    <row r="302" spans="1:1" x14ac:dyDescent="0.25">
      <c r="A302" t="s">
        <v>621</v>
      </c>
    </row>
    <row r="303" spans="1:1" x14ac:dyDescent="0.25">
      <c r="A303" t="s">
        <v>622</v>
      </c>
    </row>
    <row r="304" spans="1:1" x14ac:dyDescent="0.25">
      <c r="A304" t="s">
        <v>623</v>
      </c>
    </row>
    <row r="305" spans="1:1" x14ac:dyDescent="0.25">
      <c r="A305" t="s">
        <v>624</v>
      </c>
    </row>
    <row r="306" spans="1:1" x14ac:dyDescent="0.25">
      <c r="A306" t="s">
        <v>625</v>
      </c>
    </row>
    <row r="307" spans="1:1" x14ac:dyDescent="0.25">
      <c r="A307" t="s">
        <v>626</v>
      </c>
    </row>
    <row r="308" spans="1:1" x14ac:dyDescent="0.25">
      <c r="A308" t="s">
        <v>627</v>
      </c>
    </row>
    <row r="309" spans="1:1" x14ac:dyDescent="0.25">
      <c r="A309" t="s">
        <v>628</v>
      </c>
    </row>
    <row r="310" spans="1:1" x14ac:dyDescent="0.25">
      <c r="A310" t="s">
        <v>629</v>
      </c>
    </row>
    <row r="311" spans="1:1" x14ac:dyDescent="0.25">
      <c r="A311" t="s">
        <v>630</v>
      </c>
    </row>
    <row r="312" spans="1:1" x14ac:dyDescent="0.25">
      <c r="A312" t="s">
        <v>631</v>
      </c>
    </row>
    <row r="313" spans="1:1" x14ac:dyDescent="0.25">
      <c r="A313" t="s">
        <v>632</v>
      </c>
    </row>
    <row r="314" spans="1:1" x14ac:dyDescent="0.25">
      <c r="A314" t="s">
        <v>633</v>
      </c>
    </row>
    <row r="315" spans="1:1" x14ac:dyDescent="0.25">
      <c r="A315" t="s">
        <v>634</v>
      </c>
    </row>
    <row r="316" spans="1:1" x14ac:dyDescent="0.25">
      <c r="A316" t="s">
        <v>635</v>
      </c>
    </row>
    <row r="317" spans="1:1" x14ac:dyDescent="0.25">
      <c r="A317" t="s">
        <v>636</v>
      </c>
    </row>
    <row r="318" spans="1:1" x14ac:dyDescent="0.25">
      <c r="A318" t="s">
        <v>637</v>
      </c>
    </row>
    <row r="319" spans="1:1" x14ac:dyDescent="0.25">
      <c r="A319" t="s">
        <v>638</v>
      </c>
    </row>
    <row r="320" spans="1:1" x14ac:dyDescent="0.25">
      <c r="A320" t="s">
        <v>639</v>
      </c>
    </row>
    <row r="321" spans="1:1" x14ac:dyDescent="0.25">
      <c r="A321" t="s">
        <v>640</v>
      </c>
    </row>
    <row r="322" spans="1:1" x14ac:dyDescent="0.25">
      <c r="A322" t="s">
        <v>641</v>
      </c>
    </row>
    <row r="323" spans="1:1" x14ac:dyDescent="0.25">
      <c r="A323" t="s">
        <v>642</v>
      </c>
    </row>
    <row r="324" spans="1:1" x14ac:dyDescent="0.25">
      <c r="A324" t="s">
        <v>643</v>
      </c>
    </row>
    <row r="325" spans="1:1" x14ac:dyDescent="0.25">
      <c r="A325" t="s">
        <v>644</v>
      </c>
    </row>
    <row r="326" spans="1:1" x14ac:dyDescent="0.25">
      <c r="A326" t="s">
        <v>645</v>
      </c>
    </row>
    <row r="327" spans="1:1" x14ac:dyDescent="0.25">
      <c r="A327" t="s">
        <v>646</v>
      </c>
    </row>
    <row r="328" spans="1:1" x14ac:dyDescent="0.25">
      <c r="A328" t="s">
        <v>647</v>
      </c>
    </row>
    <row r="329" spans="1:1" x14ac:dyDescent="0.25">
      <c r="A329" t="s">
        <v>648</v>
      </c>
    </row>
    <row r="330" spans="1:1" x14ac:dyDescent="0.25">
      <c r="A330" t="s">
        <v>649</v>
      </c>
    </row>
    <row r="331" spans="1:1" x14ac:dyDescent="0.25">
      <c r="A331" t="s">
        <v>650</v>
      </c>
    </row>
    <row r="332" spans="1:1" x14ac:dyDescent="0.25">
      <c r="A332" t="s">
        <v>651</v>
      </c>
    </row>
    <row r="333" spans="1:1" x14ac:dyDescent="0.25">
      <c r="A333" t="s">
        <v>652</v>
      </c>
    </row>
    <row r="334" spans="1:1" x14ac:dyDescent="0.25">
      <c r="A334" t="s">
        <v>653</v>
      </c>
    </row>
    <row r="335" spans="1:1" x14ac:dyDescent="0.25">
      <c r="A335" t="s">
        <v>654</v>
      </c>
    </row>
    <row r="336" spans="1:1" x14ac:dyDescent="0.25">
      <c r="A336" t="s">
        <v>655</v>
      </c>
    </row>
    <row r="337" spans="1:1" x14ac:dyDescent="0.25">
      <c r="A337" t="s">
        <v>656</v>
      </c>
    </row>
    <row r="338" spans="1:1" x14ac:dyDescent="0.25">
      <c r="A338" t="s">
        <v>657</v>
      </c>
    </row>
    <row r="339" spans="1:1" x14ac:dyDescent="0.25">
      <c r="A339" t="s">
        <v>658</v>
      </c>
    </row>
    <row r="340" spans="1:1" x14ac:dyDescent="0.25">
      <c r="A340" t="s">
        <v>659</v>
      </c>
    </row>
    <row r="341" spans="1:1" x14ac:dyDescent="0.25">
      <c r="A341" t="s">
        <v>660</v>
      </c>
    </row>
    <row r="342" spans="1:1" x14ac:dyDescent="0.25">
      <c r="A342" t="s">
        <v>661</v>
      </c>
    </row>
    <row r="343" spans="1:1" x14ac:dyDescent="0.25">
      <c r="A343" t="s">
        <v>662</v>
      </c>
    </row>
    <row r="344" spans="1:1" x14ac:dyDescent="0.25">
      <c r="A344" t="s">
        <v>663</v>
      </c>
    </row>
    <row r="345" spans="1:1" x14ac:dyDescent="0.25">
      <c r="A345" t="s">
        <v>664</v>
      </c>
    </row>
    <row r="346" spans="1:1" x14ac:dyDescent="0.25">
      <c r="A346" t="s">
        <v>665</v>
      </c>
    </row>
    <row r="347" spans="1:1" x14ac:dyDescent="0.25">
      <c r="A347" t="s">
        <v>666</v>
      </c>
    </row>
    <row r="348" spans="1:1" x14ac:dyDescent="0.25">
      <c r="A348" t="s">
        <v>667</v>
      </c>
    </row>
    <row r="349" spans="1:1" x14ac:dyDescent="0.25">
      <c r="A349" t="s">
        <v>668</v>
      </c>
    </row>
    <row r="350" spans="1:1" x14ac:dyDescent="0.25">
      <c r="A350" t="s">
        <v>669</v>
      </c>
    </row>
    <row r="351" spans="1:1" x14ac:dyDescent="0.25">
      <c r="A351" t="s">
        <v>670</v>
      </c>
    </row>
    <row r="352" spans="1:1" x14ac:dyDescent="0.25">
      <c r="A352" t="s">
        <v>671</v>
      </c>
    </row>
    <row r="353" spans="1:1" x14ac:dyDescent="0.25">
      <c r="A353" t="s">
        <v>672</v>
      </c>
    </row>
    <row r="354" spans="1:1" x14ac:dyDescent="0.25">
      <c r="A354" t="s">
        <v>673</v>
      </c>
    </row>
    <row r="355" spans="1:1" x14ac:dyDescent="0.25">
      <c r="A355" t="s">
        <v>674</v>
      </c>
    </row>
    <row r="356" spans="1:1" x14ac:dyDescent="0.25">
      <c r="A356" t="s">
        <v>675</v>
      </c>
    </row>
    <row r="357" spans="1:1" x14ac:dyDescent="0.25">
      <c r="A357" t="s">
        <v>676</v>
      </c>
    </row>
    <row r="358" spans="1:1" x14ac:dyDescent="0.25">
      <c r="A358" t="s">
        <v>677</v>
      </c>
    </row>
    <row r="359" spans="1:1" x14ac:dyDescent="0.25">
      <c r="A359" t="s">
        <v>678</v>
      </c>
    </row>
    <row r="360" spans="1:1" x14ac:dyDescent="0.25">
      <c r="A360" t="s">
        <v>679</v>
      </c>
    </row>
    <row r="361" spans="1:1" x14ac:dyDescent="0.25">
      <c r="A361" t="s">
        <v>680</v>
      </c>
    </row>
    <row r="362" spans="1:1" x14ac:dyDescent="0.25">
      <c r="A362" t="s">
        <v>681</v>
      </c>
    </row>
    <row r="363" spans="1:1" x14ac:dyDescent="0.25">
      <c r="A363" t="s">
        <v>682</v>
      </c>
    </row>
    <row r="364" spans="1:1" x14ac:dyDescent="0.25">
      <c r="A364" t="s">
        <v>683</v>
      </c>
    </row>
    <row r="365" spans="1:1" x14ac:dyDescent="0.25">
      <c r="A365" t="s">
        <v>684</v>
      </c>
    </row>
    <row r="366" spans="1:1" x14ac:dyDescent="0.25">
      <c r="A366" t="s">
        <v>685</v>
      </c>
    </row>
    <row r="367" spans="1:1" x14ac:dyDescent="0.25">
      <c r="A367" t="s">
        <v>686</v>
      </c>
    </row>
    <row r="368" spans="1:1" x14ac:dyDescent="0.25">
      <c r="A368" t="s">
        <v>687</v>
      </c>
    </row>
    <row r="369" spans="1:1" x14ac:dyDescent="0.25">
      <c r="A369" t="s">
        <v>688</v>
      </c>
    </row>
    <row r="370" spans="1:1" x14ac:dyDescent="0.25">
      <c r="A370" t="s">
        <v>689</v>
      </c>
    </row>
    <row r="371" spans="1:1" x14ac:dyDescent="0.25">
      <c r="A371" t="s">
        <v>690</v>
      </c>
    </row>
    <row r="372" spans="1:1" x14ac:dyDescent="0.25">
      <c r="A372" t="s">
        <v>691</v>
      </c>
    </row>
    <row r="373" spans="1:1" x14ac:dyDescent="0.25">
      <c r="A373" t="s">
        <v>692</v>
      </c>
    </row>
    <row r="374" spans="1:1" x14ac:dyDescent="0.25">
      <c r="A374" t="s">
        <v>693</v>
      </c>
    </row>
    <row r="375" spans="1:1" x14ac:dyDescent="0.25">
      <c r="A375" t="s">
        <v>694</v>
      </c>
    </row>
    <row r="376" spans="1:1" x14ac:dyDescent="0.25">
      <c r="A376" t="s">
        <v>695</v>
      </c>
    </row>
    <row r="377" spans="1:1" x14ac:dyDescent="0.25">
      <c r="A377" t="s">
        <v>696</v>
      </c>
    </row>
    <row r="378" spans="1:1" x14ac:dyDescent="0.25">
      <c r="A378" t="s">
        <v>697</v>
      </c>
    </row>
    <row r="379" spans="1:1" x14ac:dyDescent="0.25">
      <c r="A379" t="s">
        <v>698</v>
      </c>
    </row>
    <row r="380" spans="1:1" x14ac:dyDescent="0.25">
      <c r="A380" t="s">
        <v>699</v>
      </c>
    </row>
    <row r="381" spans="1:1" x14ac:dyDescent="0.25">
      <c r="A381" t="s">
        <v>700</v>
      </c>
    </row>
    <row r="382" spans="1:1" x14ac:dyDescent="0.25">
      <c r="A382" t="s">
        <v>701</v>
      </c>
    </row>
    <row r="383" spans="1:1" x14ac:dyDescent="0.25">
      <c r="A383" t="s">
        <v>702</v>
      </c>
    </row>
    <row r="384" spans="1:1" x14ac:dyDescent="0.25">
      <c r="A384" t="s">
        <v>703</v>
      </c>
    </row>
    <row r="385" spans="1:1" x14ac:dyDescent="0.25">
      <c r="A385" t="s">
        <v>704</v>
      </c>
    </row>
    <row r="386" spans="1:1" x14ac:dyDescent="0.25">
      <c r="A386" t="s">
        <v>705</v>
      </c>
    </row>
    <row r="387" spans="1:1" x14ac:dyDescent="0.25">
      <c r="A387" t="s">
        <v>706</v>
      </c>
    </row>
    <row r="388" spans="1:1" x14ac:dyDescent="0.25">
      <c r="A388" t="s">
        <v>707</v>
      </c>
    </row>
    <row r="389" spans="1:1" x14ac:dyDescent="0.25">
      <c r="A389" t="s">
        <v>708</v>
      </c>
    </row>
    <row r="390" spans="1:1" x14ac:dyDescent="0.25">
      <c r="A390" t="s">
        <v>709</v>
      </c>
    </row>
    <row r="391" spans="1:1" x14ac:dyDescent="0.25">
      <c r="A391" t="s">
        <v>710</v>
      </c>
    </row>
    <row r="392" spans="1:1" x14ac:dyDescent="0.25">
      <c r="A392" t="s">
        <v>711</v>
      </c>
    </row>
    <row r="393" spans="1:1" x14ac:dyDescent="0.25">
      <c r="A393" t="s">
        <v>712</v>
      </c>
    </row>
    <row r="394" spans="1:1" x14ac:dyDescent="0.25">
      <c r="A394" t="s">
        <v>713</v>
      </c>
    </row>
    <row r="395" spans="1:1" x14ac:dyDescent="0.25">
      <c r="A395" t="s">
        <v>714</v>
      </c>
    </row>
    <row r="396" spans="1:1" x14ac:dyDescent="0.25">
      <c r="A396" t="s">
        <v>715</v>
      </c>
    </row>
    <row r="397" spans="1:1" x14ac:dyDescent="0.25">
      <c r="A397" t="s">
        <v>716</v>
      </c>
    </row>
    <row r="398" spans="1:1" x14ac:dyDescent="0.25">
      <c r="A398" t="s">
        <v>717</v>
      </c>
    </row>
    <row r="399" spans="1:1" x14ac:dyDescent="0.25">
      <c r="A399" t="s">
        <v>718</v>
      </c>
    </row>
    <row r="400" spans="1:1" x14ac:dyDescent="0.25">
      <c r="A400" t="s">
        <v>719</v>
      </c>
    </row>
    <row r="401" spans="1:1" x14ac:dyDescent="0.25">
      <c r="A401" t="s">
        <v>720</v>
      </c>
    </row>
    <row r="402" spans="1:1" x14ac:dyDescent="0.25">
      <c r="A402" t="s">
        <v>721</v>
      </c>
    </row>
    <row r="403" spans="1:1" x14ac:dyDescent="0.25">
      <c r="A403" t="s">
        <v>722</v>
      </c>
    </row>
    <row r="404" spans="1:1" x14ac:dyDescent="0.25">
      <c r="A404" t="s">
        <v>723</v>
      </c>
    </row>
    <row r="405" spans="1:1" x14ac:dyDescent="0.25">
      <c r="A405" t="s">
        <v>724</v>
      </c>
    </row>
    <row r="406" spans="1:1" x14ac:dyDescent="0.25">
      <c r="A406" t="s">
        <v>725</v>
      </c>
    </row>
    <row r="407" spans="1:1" x14ac:dyDescent="0.25">
      <c r="A407" t="s">
        <v>726</v>
      </c>
    </row>
    <row r="408" spans="1:1" x14ac:dyDescent="0.25">
      <c r="A408" t="s">
        <v>727</v>
      </c>
    </row>
    <row r="409" spans="1:1" x14ac:dyDescent="0.25">
      <c r="A409" t="s">
        <v>728</v>
      </c>
    </row>
    <row r="410" spans="1:1" x14ac:dyDescent="0.25">
      <c r="A410" t="s">
        <v>729</v>
      </c>
    </row>
    <row r="411" spans="1:1" x14ac:dyDescent="0.25">
      <c r="A411" t="s">
        <v>730</v>
      </c>
    </row>
    <row r="412" spans="1:1" x14ac:dyDescent="0.25">
      <c r="A412" t="s">
        <v>731</v>
      </c>
    </row>
    <row r="413" spans="1:1" x14ac:dyDescent="0.25">
      <c r="A413" t="s">
        <v>732</v>
      </c>
    </row>
    <row r="414" spans="1:1" x14ac:dyDescent="0.25">
      <c r="A414" t="s">
        <v>733</v>
      </c>
    </row>
    <row r="415" spans="1:1" x14ac:dyDescent="0.25">
      <c r="A415" t="s">
        <v>734</v>
      </c>
    </row>
    <row r="416" spans="1:1" x14ac:dyDescent="0.25">
      <c r="A416" t="s">
        <v>735</v>
      </c>
    </row>
    <row r="417" spans="1:1" x14ac:dyDescent="0.25">
      <c r="A417" t="s">
        <v>736</v>
      </c>
    </row>
    <row r="418" spans="1:1" x14ac:dyDescent="0.25">
      <c r="A418" t="s">
        <v>737</v>
      </c>
    </row>
    <row r="419" spans="1:1" x14ac:dyDescent="0.25">
      <c r="A419" t="s">
        <v>738</v>
      </c>
    </row>
    <row r="420" spans="1:1" x14ac:dyDescent="0.25">
      <c r="A420" t="s">
        <v>739</v>
      </c>
    </row>
    <row r="421" spans="1:1" x14ac:dyDescent="0.25">
      <c r="A421" t="s">
        <v>740</v>
      </c>
    </row>
    <row r="422" spans="1:1" x14ac:dyDescent="0.25">
      <c r="A422" t="s">
        <v>741</v>
      </c>
    </row>
    <row r="423" spans="1:1" x14ac:dyDescent="0.25">
      <c r="A423" t="s">
        <v>742</v>
      </c>
    </row>
    <row r="424" spans="1:1" x14ac:dyDescent="0.25">
      <c r="A424" t="s">
        <v>743</v>
      </c>
    </row>
    <row r="425" spans="1:1" x14ac:dyDescent="0.25">
      <c r="A425" t="s">
        <v>744</v>
      </c>
    </row>
    <row r="426" spans="1:1" x14ac:dyDescent="0.25">
      <c r="A426" t="s">
        <v>745</v>
      </c>
    </row>
    <row r="427" spans="1:1" x14ac:dyDescent="0.25">
      <c r="A427" t="s">
        <v>746</v>
      </c>
    </row>
    <row r="428" spans="1:1" x14ac:dyDescent="0.25">
      <c r="A428" t="s">
        <v>747</v>
      </c>
    </row>
    <row r="429" spans="1:1" x14ac:dyDescent="0.25">
      <c r="A429" t="s">
        <v>748</v>
      </c>
    </row>
    <row r="430" spans="1:1" x14ac:dyDescent="0.25">
      <c r="A430" t="s">
        <v>749</v>
      </c>
    </row>
    <row r="431" spans="1:1" x14ac:dyDescent="0.25">
      <c r="A431" t="s">
        <v>750</v>
      </c>
    </row>
    <row r="432" spans="1:1" x14ac:dyDescent="0.25">
      <c r="A432" t="s">
        <v>751</v>
      </c>
    </row>
    <row r="433" spans="1:1" x14ac:dyDescent="0.25">
      <c r="A433" t="s">
        <v>752</v>
      </c>
    </row>
    <row r="434" spans="1:1" x14ac:dyDescent="0.25">
      <c r="A434" t="s">
        <v>753</v>
      </c>
    </row>
    <row r="435" spans="1:1" x14ac:dyDescent="0.25">
      <c r="A435" t="s">
        <v>754</v>
      </c>
    </row>
    <row r="436" spans="1:1" x14ac:dyDescent="0.25">
      <c r="A436" t="s">
        <v>755</v>
      </c>
    </row>
    <row r="437" spans="1:1" x14ac:dyDescent="0.25">
      <c r="A437" t="s">
        <v>756</v>
      </c>
    </row>
    <row r="438" spans="1:1" x14ac:dyDescent="0.25">
      <c r="A438" t="s">
        <v>757</v>
      </c>
    </row>
    <row r="439" spans="1:1" x14ac:dyDescent="0.25">
      <c r="A439" t="s">
        <v>758</v>
      </c>
    </row>
    <row r="440" spans="1:1" x14ac:dyDescent="0.25">
      <c r="A440" t="s">
        <v>759</v>
      </c>
    </row>
    <row r="441" spans="1:1" x14ac:dyDescent="0.25">
      <c r="A441" t="s">
        <v>760</v>
      </c>
    </row>
    <row r="442" spans="1:1" x14ac:dyDescent="0.25">
      <c r="A442" t="s">
        <v>761</v>
      </c>
    </row>
    <row r="443" spans="1:1" x14ac:dyDescent="0.25">
      <c r="A443" t="s">
        <v>762</v>
      </c>
    </row>
    <row r="444" spans="1:1" x14ac:dyDescent="0.25">
      <c r="A444" t="s">
        <v>763</v>
      </c>
    </row>
    <row r="445" spans="1:1" x14ac:dyDescent="0.25">
      <c r="A445" t="s">
        <v>764</v>
      </c>
    </row>
    <row r="446" spans="1:1" x14ac:dyDescent="0.25">
      <c r="A446" t="s">
        <v>765</v>
      </c>
    </row>
    <row r="447" spans="1:1" x14ac:dyDescent="0.25">
      <c r="A447" t="s">
        <v>766</v>
      </c>
    </row>
    <row r="448" spans="1:1" x14ac:dyDescent="0.25">
      <c r="A448" t="s">
        <v>767</v>
      </c>
    </row>
    <row r="449" spans="1:1" x14ac:dyDescent="0.25">
      <c r="A449" t="s">
        <v>768</v>
      </c>
    </row>
    <row r="450" spans="1:1" x14ac:dyDescent="0.25">
      <c r="A450" t="s">
        <v>769</v>
      </c>
    </row>
    <row r="451" spans="1:1" x14ac:dyDescent="0.25">
      <c r="A451" t="s">
        <v>770</v>
      </c>
    </row>
    <row r="452" spans="1:1" x14ac:dyDescent="0.25">
      <c r="A452" t="s">
        <v>771</v>
      </c>
    </row>
    <row r="453" spans="1:1" x14ac:dyDescent="0.25">
      <c r="A453" t="s">
        <v>772</v>
      </c>
    </row>
    <row r="454" spans="1:1" x14ac:dyDescent="0.25">
      <c r="A454" t="s">
        <v>773</v>
      </c>
    </row>
    <row r="455" spans="1:1" x14ac:dyDescent="0.25">
      <c r="A455" t="s">
        <v>774</v>
      </c>
    </row>
    <row r="456" spans="1:1" x14ac:dyDescent="0.25">
      <c r="A456" t="s">
        <v>775</v>
      </c>
    </row>
    <row r="457" spans="1:1" x14ac:dyDescent="0.25">
      <c r="A457" t="s">
        <v>776</v>
      </c>
    </row>
    <row r="458" spans="1:1" x14ac:dyDescent="0.25">
      <c r="A458" t="s">
        <v>777</v>
      </c>
    </row>
    <row r="459" spans="1:1" x14ac:dyDescent="0.25">
      <c r="A459" t="s">
        <v>778</v>
      </c>
    </row>
    <row r="460" spans="1:1" x14ac:dyDescent="0.25">
      <c r="A460" t="s">
        <v>779</v>
      </c>
    </row>
    <row r="461" spans="1:1" x14ac:dyDescent="0.25">
      <c r="A461" t="s">
        <v>780</v>
      </c>
    </row>
    <row r="462" spans="1:1" x14ac:dyDescent="0.25">
      <c r="A462" t="s">
        <v>781</v>
      </c>
    </row>
    <row r="463" spans="1:1" x14ac:dyDescent="0.25">
      <c r="A463" t="s">
        <v>782</v>
      </c>
    </row>
    <row r="464" spans="1:1" x14ac:dyDescent="0.25">
      <c r="A464" t="s">
        <v>783</v>
      </c>
    </row>
    <row r="465" spans="1:1" x14ac:dyDescent="0.25">
      <c r="A465" t="s">
        <v>784</v>
      </c>
    </row>
    <row r="466" spans="1:1" x14ac:dyDescent="0.25">
      <c r="A466" t="s">
        <v>785</v>
      </c>
    </row>
    <row r="467" spans="1:1" x14ac:dyDescent="0.25">
      <c r="A467" t="s">
        <v>786</v>
      </c>
    </row>
    <row r="468" spans="1:1" x14ac:dyDescent="0.25">
      <c r="A468" t="s">
        <v>787</v>
      </c>
    </row>
    <row r="469" spans="1:1" x14ac:dyDescent="0.25">
      <c r="A469" t="s">
        <v>788</v>
      </c>
    </row>
    <row r="470" spans="1:1" x14ac:dyDescent="0.25">
      <c r="A470" t="s">
        <v>789</v>
      </c>
    </row>
    <row r="471" spans="1:1" x14ac:dyDescent="0.25">
      <c r="A471" t="s">
        <v>790</v>
      </c>
    </row>
    <row r="472" spans="1:1" x14ac:dyDescent="0.25">
      <c r="A472" t="s">
        <v>791</v>
      </c>
    </row>
    <row r="473" spans="1:1" x14ac:dyDescent="0.25">
      <c r="A473" t="s">
        <v>792</v>
      </c>
    </row>
    <row r="474" spans="1:1" x14ac:dyDescent="0.25">
      <c r="A474" t="s">
        <v>793</v>
      </c>
    </row>
    <row r="475" spans="1:1" x14ac:dyDescent="0.25">
      <c r="A475" t="s">
        <v>794</v>
      </c>
    </row>
    <row r="476" spans="1:1" x14ac:dyDescent="0.25">
      <c r="A476" t="s">
        <v>795</v>
      </c>
    </row>
    <row r="477" spans="1:1" x14ac:dyDescent="0.25">
      <c r="A477" t="s">
        <v>796</v>
      </c>
    </row>
    <row r="478" spans="1:1" x14ac:dyDescent="0.25">
      <c r="A478" t="s">
        <v>797</v>
      </c>
    </row>
    <row r="479" spans="1:1" x14ac:dyDescent="0.25">
      <c r="A479" t="s">
        <v>798</v>
      </c>
    </row>
    <row r="480" spans="1:1" x14ac:dyDescent="0.25">
      <c r="A480" t="s">
        <v>799</v>
      </c>
    </row>
    <row r="481" spans="1:1" x14ac:dyDescent="0.25">
      <c r="A481" t="s">
        <v>800</v>
      </c>
    </row>
    <row r="482" spans="1:1" x14ac:dyDescent="0.25">
      <c r="A482" t="s">
        <v>801</v>
      </c>
    </row>
    <row r="483" spans="1:1" x14ac:dyDescent="0.25">
      <c r="A483" t="s">
        <v>802</v>
      </c>
    </row>
    <row r="484" spans="1:1" x14ac:dyDescent="0.25">
      <c r="A484" t="s">
        <v>803</v>
      </c>
    </row>
    <row r="485" spans="1:1" x14ac:dyDescent="0.25">
      <c r="A485" t="s">
        <v>804</v>
      </c>
    </row>
    <row r="486" spans="1:1" x14ac:dyDescent="0.25">
      <c r="A486" t="s">
        <v>805</v>
      </c>
    </row>
    <row r="487" spans="1:1" x14ac:dyDescent="0.25">
      <c r="A487" t="s">
        <v>806</v>
      </c>
    </row>
    <row r="488" spans="1:1" x14ac:dyDescent="0.25">
      <c r="A488" t="s">
        <v>807</v>
      </c>
    </row>
    <row r="489" spans="1:1" x14ac:dyDescent="0.25">
      <c r="A489" t="s">
        <v>808</v>
      </c>
    </row>
    <row r="490" spans="1:1" x14ac:dyDescent="0.25">
      <c r="A490" t="s">
        <v>809</v>
      </c>
    </row>
    <row r="491" spans="1:1" x14ac:dyDescent="0.25">
      <c r="A491" t="s">
        <v>810</v>
      </c>
    </row>
    <row r="492" spans="1:1" x14ac:dyDescent="0.25">
      <c r="A492" t="s">
        <v>811</v>
      </c>
    </row>
    <row r="493" spans="1:1" x14ac:dyDescent="0.25">
      <c r="A493" t="s">
        <v>812</v>
      </c>
    </row>
    <row r="494" spans="1:1" x14ac:dyDescent="0.25">
      <c r="A494" t="s">
        <v>813</v>
      </c>
    </row>
    <row r="495" spans="1:1" x14ac:dyDescent="0.25">
      <c r="A495" t="s">
        <v>814</v>
      </c>
    </row>
    <row r="496" spans="1:1" x14ac:dyDescent="0.25">
      <c r="A496" t="s">
        <v>815</v>
      </c>
    </row>
    <row r="497" spans="1:1" x14ac:dyDescent="0.25">
      <c r="A497" t="s">
        <v>816</v>
      </c>
    </row>
    <row r="498" spans="1:1" x14ac:dyDescent="0.25">
      <c r="A498" t="s">
        <v>817</v>
      </c>
    </row>
    <row r="499" spans="1:1" x14ac:dyDescent="0.25">
      <c r="A499" t="s">
        <v>818</v>
      </c>
    </row>
    <row r="500" spans="1:1" x14ac:dyDescent="0.25">
      <c r="A500" t="s">
        <v>819</v>
      </c>
    </row>
    <row r="501" spans="1:1" x14ac:dyDescent="0.25">
      <c r="A501" t="s">
        <v>820</v>
      </c>
    </row>
    <row r="502" spans="1:1" x14ac:dyDescent="0.25">
      <c r="A502" t="s">
        <v>821</v>
      </c>
    </row>
    <row r="503" spans="1:1" x14ac:dyDescent="0.25">
      <c r="A503" t="s">
        <v>822</v>
      </c>
    </row>
    <row r="504" spans="1:1" x14ac:dyDescent="0.25">
      <c r="A504" t="s">
        <v>823</v>
      </c>
    </row>
    <row r="505" spans="1:1" x14ac:dyDescent="0.25">
      <c r="A505" t="s">
        <v>824</v>
      </c>
    </row>
    <row r="506" spans="1:1" x14ac:dyDescent="0.25">
      <c r="A506" t="s">
        <v>825</v>
      </c>
    </row>
    <row r="507" spans="1:1" x14ac:dyDescent="0.25">
      <c r="A507" t="s">
        <v>826</v>
      </c>
    </row>
    <row r="508" spans="1:1" x14ac:dyDescent="0.25">
      <c r="A508" t="s">
        <v>827</v>
      </c>
    </row>
    <row r="509" spans="1:1" x14ac:dyDescent="0.25">
      <c r="A509" t="s">
        <v>828</v>
      </c>
    </row>
    <row r="510" spans="1:1" x14ac:dyDescent="0.25">
      <c r="A510" t="s">
        <v>829</v>
      </c>
    </row>
    <row r="511" spans="1:1" x14ac:dyDescent="0.25">
      <c r="A511" t="s">
        <v>830</v>
      </c>
    </row>
    <row r="512" spans="1:1" x14ac:dyDescent="0.25">
      <c r="A512" t="s">
        <v>831</v>
      </c>
    </row>
    <row r="513" spans="1:1" x14ac:dyDescent="0.25">
      <c r="A513" t="s">
        <v>832</v>
      </c>
    </row>
    <row r="514" spans="1:1" x14ac:dyDescent="0.25">
      <c r="A514" t="s">
        <v>833</v>
      </c>
    </row>
    <row r="515" spans="1:1" x14ac:dyDescent="0.25">
      <c r="A515" t="s">
        <v>834</v>
      </c>
    </row>
    <row r="516" spans="1:1" x14ac:dyDescent="0.25">
      <c r="A516" t="s">
        <v>835</v>
      </c>
    </row>
    <row r="517" spans="1:1" x14ac:dyDescent="0.25">
      <c r="A517" t="s">
        <v>836</v>
      </c>
    </row>
    <row r="518" spans="1:1" x14ac:dyDescent="0.25">
      <c r="A518" t="s">
        <v>837</v>
      </c>
    </row>
    <row r="519" spans="1:1" x14ac:dyDescent="0.25">
      <c r="A519" t="s">
        <v>838</v>
      </c>
    </row>
    <row r="520" spans="1:1" x14ac:dyDescent="0.25">
      <c r="A520" t="s">
        <v>839</v>
      </c>
    </row>
    <row r="521" spans="1:1" x14ac:dyDescent="0.25">
      <c r="A521" t="s">
        <v>840</v>
      </c>
    </row>
    <row r="522" spans="1:1" x14ac:dyDescent="0.25">
      <c r="A522" t="s">
        <v>841</v>
      </c>
    </row>
    <row r="523" spans="1:1" x14ac:dyDescent="0.25">
      <c r="A523" t="s">
        <v>842</v>
      </c>
    </row>
    <row r="524" spans="1:1" x14ac:dyDescent="0.25">
      <c r="A524" t="s">
        <v>843</v>
      </c>
    </row>
    <row r="525" spans="1:1" x14ac:dyDescent="0.25">
      <c r="A525" t="s">
        <v>844</v>
      </c>
    </row>
    <row r="526" spans="1:1" x14ac:dyDescent="0.25">
      <c r="A526" t="s">
        <v>845</v>
      </c>
    </row>
    <row r="527" spans="1:1" x14ac:dyDescent="0.25">
      <c r="A527" t="s">
        <v>846</v>
      </c>
    </row>
    <row r="528" spans="1:1" x14ac:dyDescent="0.25">
      <c r="A528" t="s">
        <v>847</v>
      </c>
    </row>
    <row r="529" spans="1:1" x14ac:dyDescent="0.25">
      <c r="A529" t="s">
        <v>848</v>
      </c>
    </row>
    <row r="530" spans="1:1" x14ac:dyDescent="0.25">
      <c r="A530" t="s">
        <v>849</v>
      </c>
    </row>
    <row r="531" spans="1:1" x14ac:dyDescent="0.25">
      <c r="A531" t="s">
        <v>850</v>
      </c>
    </row>
    <row r="532" spans="1:1" x14ac:dyDescent="0.25">
      <c r="A532" t="s">
        <v>851</v>
      </c>
    </row>
    <row r="533" spans="1:1" x14ac:dyDescent="0.25">
      <c r="A533" t="s">
        <v>852</v>
      </c>
    </row>
    <row r="534" spans="1:1" x14ac:dyDescent="0.25">
      <c r="A534" t="s">
        <v>853</v>
      </c>
    </row>
    <row r="535" spans="1:1" x14ac:dyDescent="0.25">
      <c r="A535" t="s">
        <v>854</v>
      </c>
    </row>
    <row r="536" spans="1:1" x14ac:dyDescent="0.25">
      <c r="A536" t="s">
        <v>855</v>
      </c>
    </row>
    <row r="537" spans="1:1" x14ac:dyDescent="0.25">
      <c r="A537" t="s">
        <v>856</v>
      </c>
    </row>
    <row r="538" spans="1:1" x14ac:dyDescent="0.25">
      <c r="A538" t="s">
        <v>857</v>
      </c>
    </row>
    <row r="539" spans="1:1" x14ac:dyDescent="0.25">
      <c r="A539" t="s">
        <v>858</v>
      </c>
    </row>
    <row r="540" spans="1:1" x14ac:dyDescent="0.25">
      <c r="A540" t="s">
        <v>859</v>
      </c>
    </row>
    <row r="541" spans="1:1" x14ac:dyDescent="0.25">
      <c r="A541" t="s">
        <v>860</v>
      </c>
    </row>
    <row r="542" spans="1:1" x14ac:dyDescent="0.25">
      <c r="A542" t="s">
        <v>861</v>
      </c>
    </row>
    <row r="543" spans="1:1" x14ac:dyDescent="0.25">
      <c r="A543" t="s">
        <v>862</v>
      </c>
    </row>
    <row r="544" spans="1:1" x14ac:dyDescent="0.25">
      <c r="A544" t="s">
        <v>863</v>
      </c>
    </row>
    <row r="545" spans="1:1" x14ac:dyDescent="0.25">
      <c r="A545" t="s">
        <v>864</v>
      </c>
    </row>
    <row r="546" spans="1:1" x14ac:dyDescent="0.25">
      <c r="A546" t="s">
        <v>865</v>
      </c>
    </row>
    <row r="547" spans="1:1" x14ac:dyDescent="0.25">
      <c r="A547" t="s">
        <v>866</v>
      </c>
    </row>
    <row r="548" spans="1:1" x14ac:dyDescent="0.25">
      <c r="A548" t="s">
        <v>867</v>
      </c>
    </row>
    <row r="549" spans="1:1" x14ac:dyDescent="0.25">
      <c r="A549" t="s">
        <v>868</v>
      </c>
    </row>
    <row r="550" spans="1:1" x14ac:dyDescent="0.25">
      <c r="A550" t="s">
        <v>869</v>
      </c>
    </row>
    <row r="551" spans="1:1" x14ac:dyDescent="0.25">
      <c r="A551" t="s">
        <v>870</v>
      </c>
    </row>
    <row r="552" spans="1:1" x14ac:dyDescent="0.25">
      <c r="A552" t="s">
        <v>871</v>
      </c>
    </row>
    <row r="553" spans="1:1" x14ac:dyDescent="0.25">
      <c r="A553" t="s">
        <v>872</v>
      </c>
    </row>
    <row r="554" spans="1:1" x14ac:dyDescent="0.25">
      <c r="A554" t="s">
        <v>873</v>
      </c>
    </row>
    <row r="555" spans="1:1" x14ac:dyDescent="0.25">
      <c r="A555" t="s">
        <v>874</v>
      </c>
    </row>
    <row r="556" spans="1:1" x14ac:dyDescent="0.25">
      <c r="A556" t="s">
        <v>875</v>
      </c>
    </row>
    <row r="557" spans="1:1" x14ac:dyDescent="0.25">
      <c r="A557" t="s">
        <v>876</v>
      </c>
    </row>
    <row r="558" spans="1:1" x14ac:dyDescent="0.25">
      <c r="A558" t="s">
        <v>877</v>
      </c>
    </row>
    <row r="559" spans="1:1" x14ac:dyDescent="0.25">
      <c r="A559" t="s">
        <v>878</v>
      </c>
    </row>
    <row r="560" spans="1:1" x14ac:dyDescent="0.25">
      <c r="A560" t="s">
        <v>879</v>
      </c>
    </row>
    <row r="561" spans="1:1" x14ac:dyDescent="0.25">
      <c r="A561" t="s">
        <v>880</v>
      </c>
    </row>
    <row r="562" spans="1:1" x14ac:dyDescent="0.25">
      <c r="A562" t="s">
        <v>881</v>
      </c>
    </row>
    <row r="563" spans="1:1" x14ac:dyDescent="0.25">
      <c r="A563" t="s">
        <v>882</v>
      </c>
    </row>
    <row r="564" spans="1:1" x14ac:dyDescent="0.25">
      <c r="A564" t="s">
        <v>883</v>
      </c>
    </row>
    <row r="565" spans="1:1" x14ac:dyDescent="0.25">
      <c r="A565" t="s">
        <v>884</v>
      </c>
    </row>
    <row r="566" spans="1:1" x14ac:dyDescent="0.25">
      <c r="A566" t="s">
        <v>885</v>
      </c>
    </row>
    <row r="567" spans="1:1" x14ac:dyDescent="0.25">
      <c r="A567" t="s">
        <v>886</v>
      </c>
    </row>
    <row r="568" spans="1:1" x14ac:dyDescent="0.25">
      <c r="A568" t="s">
        <v>887</v>
      </c>
    </row>
    <row r="569" spans="1:1" x14ac:dyDescent="0.25">
      <c r="A569" t="s">
        <v>888</v>
      </c>
    </row>
    <row r="570" spans="1:1" x14ac:dyDescent="0.25">
      <c r="A570" t="s">
        <v>889</v>
      </c>
    </row>
    <row r="571" spans="1:1" x14ac:dyDescent="0.25">
      <c r="A571" t="s">
        <v>890</v>
      </c>
    </row>
    <row r="572" spans="1:1" x14ac:dyDescent="0.25">
      <c r="A572" t="s">
        <v>891</v>
      </c>
    </row>
    <row r="573" spans="1:1" x14ac:dyDescent="0.25">
      <c r="A573" t="s">
        <v>892</v>
      </c>
    </row>
    <row r="574" spans="1:1" x14ac:dyDescent="0.25">
      <c r="A574" t="s">
        <v>893</v>
      </c>
    </row>
    <row r="575" spans="1:1" x14ac:dyDescent="0.25">
      <c r="A575" t="s">
        <v>894</v>
      </c>
    </row>
    <row r="576" spans="1:1" x14ac:dyDescent="0.25">
      <c r="A576" t="s">
        <v>895</v>
      </c>
    </row>
    <row r="577" spans="1:1" x14ac:dyDescent="0.25">
      <c r="A577" t="s">
        <v>896</v>
      </c>
    </row>
    <row r="578" spans="1:1" x14ac:dyDescent="0.25">
      <c r="A578" t="s">
        <v>897</v>
      </c>
    </row>
    <row r="579" spans="1:1" x14ac:dyDescent="0.25">
      <c r="A579" t="s">
        <v>898</v>
      </c>
    </row>
    <row r="580" spans="1:1" x14ac:dyDescent="0.25">
      <c r="A580" t="s">
        <v>899</v>
      </c>
    </row>
    <row r="581" spans="1:1" x14ac:dyDescent="0.25">
      <c r="A581" t="s">
        <v>900</v>
      </c>
    </row>
    <row r="582" spans="1:1" x14ac:dyDescent="0.25">
      <c r="A582" t="s">
        <v>901</v>
      </c>
    </row>
    <row r="583" spans="1:1" x14ac:dyDescent="0.25">
      <c r="A583" t="s">
        <v>902</v>
      </c>
    </row>
    <row r="584" spans="1:1" x14ac:dyDescent="0.25">
      <c r="A584" t="s">
        <v>903</v>
      </c>
    </row>
    <row r="585" spans="1:1" x14ac:dyDescent="0.25">
      <c r="A585" t="s">
        <v>904</v>
      </c>
    </row>
    <row r="586" spans="1:1" x14ac:dyDescent="0.25">
      <c r="A586" t="s">
        <v>905</v>
      </c>
    </row>
    <row r="587" spans="1:1" x14ac:dyDescent="0.25">
      <c r="A587" t="s">
        <v>906</v>
      </c>
    </row>
    <row r="588" spans="1:1" x14ac:dyDescent="0.25">
      <c r="A588" t="s">
        <v>907</v>
      </c>
    </row>
    <row r="589" spans="1:1" x14ac:dyDescent="0.25">
      <c r="A589" t="s">
        <v>908</v>
      </c>
    </row>
    <row r="590" spans="1:1" x14ac:dyDescent="0.25">
      <c r="A590" t="s">
        <v>909</v>
      </c>
    </row>
    <row r="591" spans="1:1" x14ac:dyDescent="0.25">
      <c r="A591" t="s">
        <v>910</v>
      </c>
    </row>
    <row r="592" spans="1:1" x14ac:dyDescent="0.25">
      <c r="A592" t="s">
        <v>911</v>
      </c>
    </row>
    <row r="593" spans="1:1" x14ac:dyDescent="0.25">
      <c r="A593" t="s">
        <v>912</v>
      </c>
    </row>
    <row r="594" spans="1:1" x14ac:dyDescent="0.25">
      <c r="A594" t="s">
        <v>913</v>
      </c>
    </row>
    <row r="595" spans="1:1" x14ac:dyDescent="0.25">
      <c r="A595" t="s">
        <v>914</v>
      </c>
    </row>
    <row r="596" spans="1:1" x14ac:dyDescent="0.25">
      <c r="A596" t="s">
        <v>915</v>
      </c>
    </row>
    <row r="597" spans="1:1" x14ac:dyDescent="0.25">
      <c r="A597" t="s">
        <v>916</v>
      </c>
    </row>
    <row r="598" spans="1:1" x14ac:dyDescent="0.25">
      <c r="A598" t="s">
        <v>917</v>
      </c>
    </row>
    <row r="599" spans="1:1" x14ac:dyDescent="0.25">
      <c r="A599" t="s">
        <v>918</v>
      </c>
    </row>
    <row r="600" spans="1:1" x14ac:dyDescent="0.25">
      <c r="A600" t="s">
        <v>919</v>
      </c>
    </row>
    <row r="601" spans="1:1" x14ac:dyDescent="0.25">
      <c r="A601" t="s">
        <v>920</v>
      </c>
    </row>
    <row r="602" spans="1:1" x14ac:dyDescent="0.25">
      <c r="A602" t="s">
        <v>921</v>
      </c>
    </row>
    <row r="603" spans="1:1" x14ac:dyDescent="0.25">
      <c r="A603" t="s">
        <v>922</v>
      </c>
    </row>
    <row r="604" spans="1:1" x14ac:dyDescent="0.25">
      <c r="A604" t="s">
        <v>923</v>
      </c>
    </row>
    <row r="605" spans="1:1" x14ac:dyDescent="0.25">
      <c r="A605" t="s">
        <v>924</v>
      </c>
    </row>
    <row r="606" spans="1:1" x14ac:dyDescent="0.25">
      <c r="A606" t="s">
        <v>925</v>
      </c>
    </row>
    <row r="607" spans="1:1" x14ac:dyDescent="0.25">
      <c r="A607" t="s">
        <v>926</v>
      </c>
    </row>
    <row r="608" spans="1:1" x14ac:dyDescent="0.25">
      <c r="A608" t="s">
        <v>927</v>
      </c>
    </row>
    <row r="609" spans="1:1" x14ac:dyDescent="0.25">
      <c r="A609" t="s">
        <v>928</v>
      </c>
    </row>
    <row r="610" spans="1:1" x14ac:dyDescent="0.25">
      <c r="A610" t="s">
        <v>929</v>
      </c>
    </row>
    <row r="611" spans="1:1" x14ac:dyDescent="0.25">
      <c r="A611" t="s">
        <v>930</v>
      </c>
    </row>
    <row r="612" spans="1:1" x14ac:dyDescent="0.25">
      <c r="A612" t="s">
        <v>931</v>
      </c>
    </row>
    <row r="613" spans="1:1" x14ac:dyDescent="0.25">
      <c r="A613" t="s">
        <v>932</v>
      </c>
    </row>
    <row r="614" spans="1:1" x14ac:dyDescent="0.25">
      <c r="A614" t="s">
        <v>933</v>
      </c>
    </row>
    <row r="615" spans="1:1" x14ac:dyDescent="0.25">
      <c r="A615" t="s">
        <v>934</v>
      </c>
    </row>
    <row r="616" spans="1:1" x14ac:dyDescent="0.25">
      <c r="A616" t="s">
        <v>935</v>
      </c>
    </row>
    <row r="617" spans="1:1" x14ac:dyDescent="0.25">
      <c r="A617" t="s">
        <v>936</v>
      </c>
    </row>
    <row r="618" spans="1:1" x14ac:dyDescent="0.25">
      <c r="A618" t="s">
        <v>937</v>
      </c>
    </row>
    <row r="619" spans="1:1" x14ac:dyDescent="0.25">
      <c r="A619" t="s">
        <v>938</v>
      </c>
    </row>
    <row r="620" spans="1:1" x14ac:dyDescent="0.25">
      <c r="A620" t="s">
        <v>939</v>
      </c>
    </row>
    <row r="621" spans="1:1" x14ac:dyDescent="0.25">
      <c r="A621" t="s">
        <v>940</v>
      </c>
    </row>
    <row r="622" spans="1:1" x14ac:dyDescent="0.25">
      <c r="A622" t="s">
        <v>941</v>
      </c>
    </row>
    <row r="623" spans="1:1" x14ac:dyDescent="0.25">
      <c r="A623" t="s">
        <v>942</v>
      </c>
    </row>
    <row r="624" spans="1:1" x14ac:dyDescent="0.25">
      <c r="A624" t="s">
        <v>943</v>
      </c>
    </row>
    <row r="625" spans="1:1" x14ac:dyDescent="0.25">
      <c r="A625" t="s">
        <v>944</v>
      </c>
    </row>
    <row r="626" spans="1:1" x14ac:dyDescent="0.25">
      <c r="A626" t="s">
        <v>945</v>
      </c>
    </row>
    <row r="627" spans="1:1" x14ac:dyDescent="0.25">
      <c r="A627" t="s">
        <v>946</v>
      </c>
    </row>
    <row r="628" spans="1:1" x14ac:dyDescent="0.25">
      <c r="A628" t="s">
        <v>947</v>
      </c>
    </row>
    <row r="629" spans="1:1" x14ac:dyDescent="0.25">
      <c r="A629" t="s">
        <v>948</v>
      </c>
    </row>
    <row r="630" spans="1:1" x14ac:dyDescent="0.25">
      <c r="A630" t="s">
        <v>949</v>
      </c>
    </row>
    <row r="631" spans="1:1" x14ac:dyDescent="0.25">
      <c r="A631" t="s">
        <v>950</v>
      </c>
    </row>
    <row r="632" spans="1:1" x14ac:dyDescent="0.25">
      <c r="A632" t="s">
        <v>951</v>
      </c>
    </row>
    <row r="633" spans="1:1" x14ac:dyDescent="0.25">
      <c r="A633" t="s">
        <v>952</v>
      </c>
    </row>
    <row r="634" spans="1:1" x14ac:dyDescent="0.25">
      <c r="A634" t="s">
        <v>953</v>
      </c>
    </row>
    <row r="635" spans="1:1" x14ac:dyDescent="0.25">
      <c r="A635" t="s">
        <v>954</v>
      </c>
    </row>
    <row r="636" spans="1:1" x14ac:dyDescent="0.25">
      <c r="A636" t="s">
        <v>955</v>
      </c>
    </row>
    <row r="637" spans="1:1" x14ac:dyDescent="0.25">
      <c r="A637" t="s">
        <v>956</v>
      </c>
    </row>
    <row r="638" spans="1:1" x14ac:dyDescent="0.25">
      <c r="A638" t="s">
        <v>957</v>
      </c>
    </row>
    <row r="639" spans="1:1" x14ac:dyDescent="0.25">
      <c r="A639" t="s">
        <v>958</v>
      </c>
    </row>
    <row r="640" spans="1:1" x14ac:dyDescent="0.25">
      <c r="A640" t="s">
        <v>959</v>
      </c>
    </row>
    <row r="641" spans="1:1" x14ac:dyDescent="0.25">
      <c r="A641" t="s">
        <v>960</v>
      </c>
    </row>
    <row r="642" spans="1:1" x14ac:dyDescent="0.25">
      <c r="A642" t="s">
        <v>961</v>
      </c>
    </row>
    <row r="643" spans="1:1" x14ac:dyDescent="0.25">
      <c r="A643" t="s">
        <v>962</v>
      </c>
    </row>
    <row r="644" spans="1:1" x14ac:dyDescent="0.25">
      <c r="A644" t="s">
        <v>963</v>
      </c>
    </row>
    <row r="645" spans="1:1" x14ac:dyDescent="0.25">
      <c r="A645" t="s">
        <v>964</v>
      </c>
    </row>
    <row r="646" spans="1:1" x14ac:dyDescent="0.25">
      <c r="A646" t="s">
        <v>965</v>
      </c>
    </row>
    <row r="647" spans="1:1" x14ac:dyDescent="0.25">
      <c r="A647" t="s">
        <v>966</v>
      </c>
    </row>
    <row r="648" spans="1:1" x14ac:dyDescent="0.25">
      <c r="A648" t="s">
        <v>967</v>
      </c>
    </row>
    <row r="649" spans="1:1" x14ac:dyDescent="0.25">
      <c r="A649" t="s">
        <v>968</v>
      </c>
    </row>
    <row r="650" spans="1:1" x14ac:dyDescent="0.25">
      <c r="A650" t="s">
        <v>969</v>
      </c>
    </row>
    <row r="651" spans="1:1" x14ac:dyDescent="0.25">
      <c r="A651" t="s">
        <v>970</v>
      </c>
    </row>
    <row r="652" spans="1:1" x14ac:dyDescent="0.25">
      <c r="A652" t="s">
        <v>971</v>
      </c>
    </row>
    <row r="653" spans="1:1" x14ac:dyDescent="0.25">
      <c r="A653" t="s">
        <v>972</v>
      </c>
    </row>
    <row r="654" spans="1:1" x14ac:dyDescent="0.25">
      <c r="A654" t="s">
        <v>973</v>
      </c>
    </row>
    <row r="655" spans="1:1" x14ac:dyDescent="0.25">
      <c r="A655" t="s">
        <v>974</v>
      </c>
    </row>
    <row r="656" spans="1:1" x14ac:dyDescent="0.25">
      <c r="A656" t="s">
        <v>975</v>
      </c>
    </row>
    <row r="657" spans="1:1" x14ac:dyDescent="0.25">
      <c r="A657" t="s">
        <v>976</v>
      </c>
    </row>
    <row r="658" spans="1:1" x14ac:dyDescent="0.25">
      <c r="A658" t="s">
        <v>977</v>
      </c>
    </row>
    <row r="659" spans="1:1" x14ac:dyDescent="0.25">
      <c r="A659" t="s">
        <v>978</v>
      </c>
    </row>
    <row r="660" spans="1:1" x14ac:dyDescent="0.25">
      <c r="A660" t="s">
        <v>979</v>
      </c>
    </row>
    <row r="661" spans="1:1" x14ac:dyDescent="0.25">
      <c r="A661" t="s">
        <v>980</v>
      </c>
    </row>
    <row r="662" spans="1:1" x14ac:dyDescent="0.25">
      <c r="A662" t="s">
        <v>981</v>
      </c>
    </row>
    <row r="663" spans="1:1" x14ac:dyDescent="0.25">
      <c r="A663" t="s">
        <v>982</v>
      </c>
    </row>
    <row r="664" spans="1:1" x14ac:dyDescent="0.25">
      <c r="A664" t="s">
        <v>983</v>
      </c>
    </row>
    <row r="665" spans="1:1" x14ac:dyDescent="0.25">
      <c r="A665" t="s">
        <v>984</v>
      </c>
    </row>
    <row r="666" spans="1:1" x14ac:dyDescent="0.25">
      <c r="A666" t="s">
        <v>985</v>
      </c>
    </row>
    <row r="667" spans="1:1" x14ac:dyDescent="0.25">
      <c r="A667" t="s">
        <v>986</v>
      </c>
    </row>
    <row r="668" spans="1:1" x14ac:dyDescent="0.25">
      <c r="A668" t="s">
        <v>987</v>
      </c>
    </row>
    <row r="669" spans="1:1" x14ac:dyDescent="0.25">
      <c r="A669" t="s">
        <v>988</v>
      </c>
    </row>
    <row r="670" spans="1:1" x14ac:dyDescent="0.25">
      <c r="A670" t="s">
        <v>989</v>
      </c>
    </row>
    <row r="671" spans="1:1" x14ac:dyDescent="0.25">
      <c r="A671" t="s">
        <v>990</v>
      </c>
    </row>
    <row r="672" spans="1:1" x14ac:dyDescent="0.25">
      <c r="A672" t="s">
        <v>991</v>
      </c>
    </row>
    <row r="673" spans="1:1" x14ac:dyDescent="0.25">
      <c r="A673" t="s">
        <v>992</v>
      </c>
    </row>
    <row r="674" spans="1:1" x14ac:dyDescent="0.25">
      <c r="A674" t="s">
        <v>993</v>
      </c>
    </row>
    <row r="675" spans="1:1" x14ac:dyDescent="0.25">
      <c r="A675" t="s">
        <v>994</v>
      </c>
    </row>
    <row r="676" spans="1:1" x14ac:dyDescent="0.25">
      <c r="A676" t="s">
        <v>995</v>
      </c>
    </row>
    <row r="677" spans="1:1" x14ac:dyDescent="0.25">
      <c r="A677" t="s">
        <v>996</v>
      </c>
    </row>
    <row r="678" spans="1:1" x14ac:dyDescent="0.25">
      <c r="A678" t="s">
        <v>997</v>
      </c>
    </row>
    <row r="679" spans="1:1" x14ac:dyDescent="0.25">
      <c r="A679" t="s">
        <v>998</v>
      </c>
    </row>
    <row r="680" spans="1:1" x14ac:dyDescent="0.25">
      <c r="A680" t="s">
        <v>999</v>
      </c>
    </row>
    <row r="681" spans="1:1" x14ac:dyDescent="0.25">
      <c r="A681" t="s">
        <v>1000</v>
      </c>
    </row>
    <row r="682" spans="1:1" x14ac:dyDescent="0.25">
      <c r="A682" t="s">
        <v>1001</v>
      </c>
    </row>
    <row r="683" spans="1:1" x14ac:dyDescent="0.25">
      <c r="A683" t="s">
        <v>1002</v>
      </c>
    </row>
    <row r="684" spans="1:1" x14ac:dyDescent="0.25">
      <c r="A684" t="s">
        <v>1003</v>
      </c>
    </row>
    <row r="685" spans="1:1" x14ac:dyDescent="0.25">
      <c r="A685" t="s">
        <v>1004</v>
      </c>
    </row>
    <row r="686" spans="1:1" x14ac:dyDescent="0.25">
      <c r="A686" t="s">
        <v>1005</v>
      </c>
    </row>
    <row r="687" spans="1:1" x14ac:dyDescent="0.25">
      <c r="A687" t="s">
        <v>1006</v>
      </c>
    </row>
    <row r="688" spans="1:1" x14ac:dyDescent="0.25">
      <c r="A688" t="s">
        <v>1007</v>
      </c>
    </row>
    <row r="689" spans="1:1" x14ac:dyDescent="0.25">
      <c r="A689" t="s">
        <v>1008</v>
      </c>
    </row>
    <row r="690" spans="1:1" x14ac:dyDescent="0.25">
      <c r="A690" t="s">
        <v>1009</v>
      </c>
    </row>
    <row r="691" spans="1:1" x14ac:dyDescent="0.25">
      <c r="A691" t="s">
        <v>1010</v>
      </c>
    </row>
    <row r="692" spans="1:1" x14ac:dyDescent="0.25">
      <c r="A692" t="s">
        <v>1011</v>
      </c>
    </row>
    <row r="693" spans="1:1" x14ac:dyDescent="0.25">
      <c r="A693" t="s">
        <v>1012</v>
      </c>
    </row>
    <row r="694" spans="1:1" x14ac:dyDescent="0.25">
      <c r="A694" t="s">
        <v>1013</v>
      </c>
    </row>
    <row r="695" spans="1:1" x14ac:dyDescent="0.25">
      <c r="A695" t="s">
        <v>1014</v>
      </c>
    </row>
    <row r="696" spans="1:1" x14ac:dyDescent="0.25">
      <c r="A696" t="s">
        <v>1015</v>
      </c>
    </row>
    <row r="697" spans="1:1" x14ac:dyDescent="0.25">
      <c r="A697" t="s">
        <v>1016</v>
      </c>
    </row>
    <row r="698" spans="1:1" x14ac:dyDescent="0.25">
      <c r="A698" t="s">
        <v>1017</v>
      </c>
    </row>
    <row r="699" spans="1:1" x14ac:dyDescent="0.25">
      <c r="A699" t="s">
        <v>1018</v>
      </c>
    </row>
    <row r="700" spans="1:1" x14ac:dyDescent="0.25">
      <c r="A700" t="s">
        <v>1019</v>
      </c>
    </row>
    <row r="701" spans="1:1" x14ac:dyDescent="0.25">
      <c r="A701" t="s">
        <v>1020</v>
      </c>
    </row>
    <row r="702" spans="1:1" x14ac:dyDescent="0.25">
      <c r="A702" t="s">
        <v>1021</v>
      </c>
    </row>
    <row r="703" spans="1:1" x14ac:dyDescent="0.25">
      <c r="A703" t="s">
        <v>1022</v>
      </c>
    </row>
    <row r="704" spans="1:1" x14ac:dyDescent="0.25">
      <c r="A704" t="s">
        <v>1023</v>
      </c>
    </row>
    <row r="705" spans="1:1" x14ac:dyDescent="0.25">
      <c r="A705" t="s">
        <v>1024</v>
      </c>
    </row>
    <row r="706" spans="1:1" x14ac:dyDescent="0.25">
      <c r="A706" t="s">
        <v>1025</v>
      </c>
    </row>
    <row r="707" spans="1:1" x14ac:dyDescent="0.25">
      <c r="A707" t="s">
        <v>1026</v>
      </c>
    </row>
    <row r="708" spans="1:1" x14ac:dyDescent="0.25">
      <c r="A708" t="s">
        <v>1027</v>
      </c>
    </row>
    <row r="709" spans="1:1" x14ac:dyDescent="0.25">
      <c r="A709" t="s">
        <v>1028</v>
      </c>
    </row>
    <row r="710" spans="1:1" x14ac:dyDescent="0.25">
      <c r="A710" t="s">
        <v>1029</v>
      </c>
    </row>
    <row r="711" spans="1:1" x14ac:dyDescent="0.25">
      <c r="A711" t="s">
        <v>1030</v>
      </c>
    </row>
    <row r="712" spans="1:1" x14ac:dyDescent="0.25">
      <c r="A712" t="s">
        <v>1031</v>
      </c>
    </row>
    <row r="713" spans="1:1" x14ac:dyDescent="0.25">
      <c r="A713" t="s">
        <v>1032</v>
      </c>
    </row>
    <row r="714" spans="1:1" x14ac:dyDescent="0.25">
      <c r="A714" t="s">
        <v>1033</v>
      </c>
    </row>
    <row r="715" spans="1:1" x14ac:dyDescent="0.25">
      <c r="A715" t="s">
        <v>1034</v>
      </c>
    </row>
    <row r="716" spans="1:1" x14ac:dyDescent="0.25">
      <c r="A716" t="s">
        <v>1035</v>
      </c>
    </row>
    <row r="717" spans="1:1" x14ac:dyDescent="0.25">
      <c r="A717" t="s">
        <v>1036</v>
      </c>
    </row>
    <row r="718" spans="1:1" x14ac:dyDescent="0.25">
      <c r="A718" t="s">
        <v>1037</v>
      </c>
    </row>
    <row r="719" spans="1:1" x14ac:dyDescent="0.25">
      <c r="A719" t="s">
        <v>1038</v>
      </c>
    </row>
    <row r="720" spans="1:1" x14ac:dyDescent="0.25">
      <c r="A720" t="s">
        <v>1039</v>
      </c>
    </row>
    <row r="721" spans="1:1" x14ac:dyDescent="0.25">
      <c r="A721" t="s">
        <v>1040</v>
      </c>
    </row>
    <row r="722" spans="1:1" x14ac:dyDescent="0.25">
      <c r="A722" t="s">
        <v>1041</v>
      </c>
    </row>
    <row r="723" spans="1:1" x14ac:dyDescent="0.25">
      <c r="A723" t="s">
        <v>1042</v>
      </c>
    </row>
    <row r="724" spans="1:1" x14ac:dyDescent="0.25">
      <c r="A724" t="s">
        <v>1043</v>
      </c>
    </row>
    <row r="725" spans="1:1" x14ac:dyDescent="0.25">
      <c r="A725" t="s">
        <v>1044</v>
      </c>
    </row>
    <row r="726" spans="1:1" x14ac:dyDescent="0.25">
      <c r="A726" t="s">
        <v>1045</v>
      </c>
    </row>
    <row r="727" spans="1:1" x14ac:dyDescent="0.25">
      <c r="A727" t="s">
        <v>1046</v>
      </c>
    </row>
    <row r="728" spans="1:1" x14ac:dyDescent="0.25">
      <c r="A728" t="s">
        <v>1047</v>
      </c>
    </row>
    <row r="729" spans="1:1" x14ac:dyDescent="0.25">
      <c r="A729" t="s">
        <v>1048</v>
      </c>
    </row>
    <row r="730" spans="1:1" x14ac:dyDescent="0.25">
      <c r="A730" t="s">
        <v>1049</v>
      </c>
    </row>
    <row r="731" spans="1:1" x14ac:dyDescent="0.25">
      <c r="A731" t="s">
        <v>1050</v>
      </c>
    </row>
    <row r="732" spans="1:1" x14ac:dyDescent="0.25">
      <c r="A732" t="s">
        <v>1051</v>
      </c>
    </row>
    <row r="733" spans="1:1" x14ac:dyDescent="0.25">
      <c r="A733" t="s">
        <v>1052</v>
      </c>
    </row>
    <row r="734" spans="1:1" x14ac:dyDescent="0.25">
      <c r="A734" t="s">
        <v>1053</v>
      </c>
    </row>
    <row r="735" spans="1:1" x14ac:dyDescent="0.25">
      <c r="A735" t="s">
        <v>1054</v>
      </c>
    </row>
    <row r="736" spans="1:1" x14ac:dyDescent="0.25">
      <c r="A736" t="s">
        <v>1055</v>
      </c>
    </row>
    <row r="737" spans="1:1" x14ac:dyDescent="0.25">
      <c r="A737" t="s">
        <v>1056</v>
      </c>
    </row>
    <row r="738" spans="1:1" x14ac:dyDescent="0.25">
      <c r="A738" t="s">
        <v>1057</v>
      </c>
    </row>
    <row r="739" spans="1:1" x14ac:dyDescent="0.25">
      <c r="A739" t="s">
        <v>1058</v>
      </c>
    </row>
    <row r="740" spans="1:1" x14ac:dyDescent="0.25">
      <c r="A740" t="s">
        <v>1059</v>
      </c>
    </row>
    <row r="741" spans="1:1" x14ac:dyDescent="0.25">
      <c r="A741" t="s">
        <v>1060</v>
      </c>
    </row>
    <row r="742" spans="1:1" x14ac:dyDescent="0.25">
      <c r="A742" t="s">
        <v>1061</v>
      </c>
    </row>
    <row r="743" spans="1:1" x14ac:dyDescent="0.25">
      <c r="A743" t="s">
        <v>1062</v>
      </c>
    </row>
    <row r="744" spans="1:1" x14ac:dyDescent="0.25">
      <c r="A744" t="s">
        <v>1063</v>
      </c>
    </row>
    <row r="745" spans="1:1" x14ac:dyDescent="0.25">
      <c r="A745" t="s">
        <v>1064</v>
      </c>
    </row>
    <row r="746" spans="1:1" x14ac:dyDescent="0.25">
      <c r="A746" t="s">
        <v>1065</v>
      </c>
    </row>
    <row r="747" spans="1:1" x14ac:dyDescent="0.25">
      <c r="A747" t="s">
        <v>1066</v>
      </c>
    </row>
    <row r="748" spans="1:1" x14ac:dyDescent="0.25">
      <c r="A748" t="s">
        <v>1067</v>
      </c>
    </row>
    <row r="749" spans="1:1" x14ac:dyDescent="0.25">
      <c r="A749" t="s">
        <v>1068</v>
      </c>
    </row>
    <row r="750" spans="1:1" x14ac:dyDescent="0.25">
      <c r="A750" t="s">
        <v>1069</v>
      </c>
    </row>
    <row r="751" spans="1:1" x14ac:dyDescent="0.25">
      <c r="A751" t="s">
        <v>1070</v>
      </c>
    </row>
    <row r="752" spans="1:1" x14ac:dyDescent="0.25">
      <c r="A752" t="s">
        <v>1071</v>
      </c>
    </row>
    <row r="753" spans="1:1" x14ac:dyDescent="0.25">
      <c r="A753" t="s">
        <v>1072</v>
      </c>
    </row>
    <row r="754" spans="1:1" x14ac:dyDescent="0.25">
      <c r="A754" t="s">
        <v>1073</v>
      </c>
    </row>
    <row r="755" spans="1:1" x14ac:dyDescent="0.25">
      <c r="A755" t="s">
        <v>1074</v>
      </c>
    </row>
    <row r="756" spans="1:1" x14ac:dyDescent="0.25">
      <c r="A756" t="s">
        <v>1075</v>
      </c>
    </row>
    <row r="757" spans="1:1" x14ac:dyDescent="0.25">
      <c r="A757" t="s">
        <v>1076</v>
      </c>
    </row>
    <row r="758" spans="1:1" x14ac:dyDescent="0.25">
      <c r="A758" t="s">
        <v>1077</v>
      </c>
    </row>
    <row r="759" spans="1:1" x14ac:dyDescent="0.25">
      <c r="A759" t="s">
        <v>1078</v>
      </c>
    </row>
    <row r="760" spans="1:1" x14ac:dyDescent="0.25">
      <c r="A760" t="s">
        <v>1079</v>
      </c>
    </row>
    <row r="761" spans="1:1" x14ac:dyDescent="0.25">
      <c r="A761" t="s">
        <v>1080</v>
      </c>
    </row>
    <row r="762" spans="1:1" x14ac:dyDescent="0.25">
      <c r="A762" t="s">
        <v>1081</v>
      </c>
    </row>
    <row r="763" spans="1:1" x14ac:dyDescent="0.25">
      <c r="A763" t="s">
        <v>1082</v>
      </c>
    </row>
    <row r="764" spans="1:1" x14ac:dyDescent="0.25">
      <c r="A764" t="s">
        <v>1083</v>
      </c>
    </row>
    <row r="765" spans="1:1" x14ac:dyDescent="0.25">
      <c r="A765" t="s">
        <v>1084</v>
      </c>
    </row>
    <row r="766" spans="1:1" x14ac:dyDescent="0.25">
      <c r="A766" t="s">
        <v>1085</v>
      </c>
    </row>
    <row r="767" spans="1:1" x14ac:dyDescent="0.25">
      <c r="A767" t="s">
        <v>1086</v>
      </c>
    </row>
    <row r="768" spans="1:1" x14ac:dyDescent="0.25">
      <c r="A768" t="s">
        <v>1087</v>
      </c>
    </row>
    <row r="769" spans="1:1" x14ac:dyDescent="0.25">
      <c r="A769" t="s">
        <v>1088</v>
      </c>
    </row>
    <row r="770" spans="1:1" x14ac:dyDescent="0.25">
      <c r="A770" t="s">
        <v>1089</v>
      </c>
    </row>
    <row r="771" spans="1:1" x14ac:dyDescent="0.25">
      <c r="A771" t="s">
        <v>1090</v>
      </c>
    </row>
    <row r="772" spans="1:1" x14ac:dyDescent="0.25">
      <c r="A772" t="s">
        <v>1091</v>
      </c>
    </row>
    <row r="773" spans="1:1" x14ac:dyDescent="0.25">
      <c r="A773" t="s">
        <v>1092</v>
      </c>
    </row>
    <row r="774" spans="1:1" x14ac:dyDescent="0.25">
      <c r="A774" t="s">
        <v>1093</v>
      </c>
    </row>
    <row r="775" spans="1:1" x14ac:dyDescent="0.25">
      <c r="A775" t="s">
        <v>1094</v>
      </c>
    </row>
    <row r="776" spans="1:1" x14ac:dyDescent="0.25">
      <c r="A776" t="s">
        <v>1095</v>
      </c>
    </row>
    <row r="777" spans="1:1" x14ac:dyDescent="0.25">
      <c r="A777" t="s">
        <v>1096</v>
      </c>
    </row>
    <row r="778" spans="1:1" x14ac:dyDescent="0.25">
      <c r="A778" t="s">
        <v>1097</v>
      </c>
    </row>
    <row r="779" spans="1:1" x14ac:dyDescent="0.25">
      <c r="A779" t="s">
        <v>1098</v>
      </c>
    </row>
    <row r="780" spans="1:1" x14ac:dyDescent="0.25">
      <c r="A780" t="s">
        <v>1099</v>
      </c>
    </row>
    <row r="781" spans="1:1" x14ac:dyDescent="0.25">
      <c r="A781" t="s">
        <v>1100</v>
      </c>
    </row>
    <row r="782" spans="1:1" x14ac:dyDescent="0.25">
      <c r="A782" t="s">
        <v>1101</v>
      </c>
    </row>
    <row r="783" spans="1:1" x14ac:dyDescent="0.25">
      <c r="A783" t="s">
        <v>1102</v>
      </c>
    </row>
    <row r="784" spans="1:1" x14ac:dyDescent="0.25">
      <c r="A784" t="s">
        <v>1103</v>
      </c>
    </row>
    <row r="785" spans="1:1" x14ac:dyDescent="0.25">
      <c r="A785" t="s">
        <v>1104</v>
      </c>
    </row>
    <row r="786" spans="1:1" x14ac:dyDescent="0.25">
      <c r="A786" t="s">
        <v>1105</v>
      </c>
    </row>
    <row r="787" spans="1:1" x14ac:dyDescent="0.25">
      <c r="A787" t="s">
        <v>1106</v>
      </c>
    </row>
    <row r="788" spans="1:1" x14ac:dyDescent="0.25">
      <c r="A788" t="s">
        <v>1107</v>
      </c>
    </row>
    <row r="789" spans="1:1" x14ac:dyDescent="0.25">
      <c r="A789" t="s">
        <v>1108</v>
      </c>
    </row>
    <row r="790" spans="1:1" x14ac:dyDescent="0.25">
      <c r="A790" t="s">
        <v>1109</v>
      </c>
    </row>
    <row r="791" spans="1:1" x14ac:dyDescent="0.25">
      <c r="A791" t="s">
        <v>1110</v>
      </c>
    </row>
    <row r="792" spans="1:1" x14ac:dyDescent="0.25">
      <c r="A792" t="s">
        <v>1111</v>
      </c>
    </row>
    <row r="793" spans="1:1" x14ac:dyDescent="0.25">
      <c r="A793" t="s">
        <v>1112</v>
      </c>
    </row>
    <row r="794" spans="1:1" x14ac:dyDescent="0.25">
      <c r="A794" t="s">
        <v>1113</v>
      </c>
    </row>
    <row r="795" spans="1:1" x14ac:dyDescent="0.25">
      <c r="A795" t="s">
        <v>1114</v>
      </c>
    </row>
    <row r="796" spans="1:1" x14ac:dyDescent="0.25">
      <c r="A796" t="s">
        <v>1115</v>
      </c>
    </row>
    <row r="797" spans="1:1" x14ac:dyDescent="0.25">
      <c r="A797" t="s">
        <v>1116</v>
      </c>
    </row>
    <row r="798" spans="1:1" x14ac:dyDescent="0.25">
      <c r="A798" t="s">
        <v>1117</v>
      </c>
    </row>
    <row r="799" spans="1:1" x14ac:dyDescent="0.25">
      <c r="A799" t="s">
        <v>1118</v>
      </c>
    </row>
    <row r="800" spans="1:1" x14ac:dyDescent="0.25">
      <c r="A800" t="s">
        <v>1119</v>
      </c>
    </row>
    <row r="801" spans="1:1" x14ac:dyDescent="0.25">
      <c r="A801" t="s">
        <v>1120</v>
      </c>
    </row>
    <row r="802" spans="1:1" x14ac:dyDescent="0.25">
      <c r="A802" t="s">
        <v>1121</v>
      </c>
    </row>
    <row r="803" spans="1:1" x14ac:dyDescent="0.25">
      <c r="A803" t="s">
        <v>1122</v>
      </c>
    </row>
    <row r="804" spans="1:1" x14ac:dyDescent="0.25">
      <c r="A804" t="s">
        <v>1123</v>
      </c>
    </row>
    <row r="805" spans="1:1" x14ac:dyDescent="0.25">
      <c r="A805" t="s">
        <v>1124</v>
      </c>
    </row>
    <row r="806" spans="1:1" x14ac:dyDescent="0.25">
      <c r="A806" t="s">
        <v>1125</v>
      </c>
    </row>
    <row r="807" spans="1:1" x14ac:dyDescent="0.25">
      <c r="A807" t="s">
        <v>1126</v>
      </c>
    </row>
    <row r="808" spans="1:1" x14ac:dyDescent="0.25">
      <c r="A808" t="s">
        <v>1127</v>
      </c>
    </row>
    <row r="809" spans="1:1" x14ac:dyDescent="0.25">
      <c r="A809" t="s">
        <v>1128</v>
      </c>
    </row>
    <row r="810" spans="1:1" x14ac:dyDescent="0.25">
      <c r="A810" t="s">
        <v>1129</v>
      </c>
    </row>
    <row r="811" spans="1:1" x14ac:dyDescent="0.25">
      <c r="A811" t="s">
        <v>1130</v>
      </c>
    </row>
    <row r="812" spans="1:1" x14ac:dyDescent="0.25">
      <c r="A812" t="s">
        <v>1131</v>
      </c>
    </row>
    <row r="813" spans="1:1" x14ac:dyDescent="0.25">
      <c r="A813" t="s">
        <v>1132</v>
      </c>
    </row>
    <row r="814" spans="1:1" x14ac:dyDescent="0.25">
      <c r="A814" t="s">
        <v>1133</v>
      </c>
    </row>
    <row r="815" spans="1:1" x14ac:dyDescent="0.25">
      <c r="A815" t="s">
        <v>1134</v>
      </c>
    </row>
    <row r="816" spans="1:1" x14ac:dyDescent="0.25">
      <c r="A816" t="s">
        <v>1135</v>
      </c>
    </row>
    <row r="817" spans="1:1" x14ac:dyDescent="0.25">
      <c r="A817" t="s">
        <v>1136</v>
      </c>
    </row>
    <row r="818" spans="1:1" x14ac:dyDescent="0.25">
      <c r="A818" t="s">
        <v>1137</v>
      </c>
    </row>
    <row r="819" spans="1:1" x14ac:dyDescent="0.25">
      <c r="A819" t="s">
        <v>1138</v>
      </c>
    </row>
    <row r="820" spans="1:1" x14ac:dyDescent="0.25">
      <c r="A820" t="s">
        <v>1139</v>
      </c>
    </row>
    <row r="821" spans="1:1" x14ac:dyDescent="0.25">
      <c r="A821" t="s">
        <v>1140</v>
      </c>
    </row>
    <row r="822" spans="1:1" x14ac:dyDescent="0.25">
      <c r="A822" t="s">
        <v>1141</v>
      </c>
    </row>
    <row r="823" spans="1:1" x14ac:dyDescent="0.25">
      <c r="A823" t="s">
        <v>1142</v>
      </c>
    </row>
    <row r="824" spans="1:1" x14ac:dyDescent="0.25">
      <c r="A824" t="s">
        <v>1143</v>
      </c>
    </row>
    <row r="825" spans="1:1" x14ac:dyDescent="0.25">
      <c r="A825" t="s">
        <v>1144</v>
      </c>
    </row>
    <row r="826" spans="1:1" x14ac:dyDescent="0.25">
      <c r="A826" t="s">
        <v>1145</v>
      </c>
    </row>
    <row r="827" spans="1:1" x14ac:dyDescent="0.25">
      <c r="A827" t="s">
        <v>1146</v>
      </c>
    </row>
    <row r="828" spans="1:1" x14ac:dyDescent="0.25">
      <c r="A828" t="s">
        <v>1147</v>
      </c>
    </row>
    <row r="829" spans="1:1" x14ac:dyDescent="0.25">
      <c r="A829" t="s">
        <v>1148</v>
      </c>
    </row>
    <row r="830" spans="1:1" x14ac:dyDescent="0.25">
      <c r="A830" t="s">
        <v>1149</v>
      </c>
    </row>
    <row r="831" spans="1:1" x14ac:dyDescent="0.25">
      <c r="A831" t="s">
        <v>1150</v>
      </c>
    </row>
    <row r="832" spans="1:1" x14ac:dyDescent="0.25">
      <c r="A832" t="s">
        <v>1151</v>
      </c>
    </row>
    <row r="833" spans="1:1" x14ac:dyDescent="0.25">
      <c r="A833" t="s">
        <v>1152</v>
      </c>
    </row>
    <row r="834" spans="1:1" x14ac:dyDescent="0.25">
      <c r="A834" t="s">
        <v>1153</v>
      </c>
    </row>
    <row r="835" spans="1:1" x14ac:dyDescent="0.25">
      <c r="A835" t="s">
        <v>1154</v>
      </c>
    </row>
    <row r="836" spans="1:1" x14ac:dyDescent="0.25">
      <c r="A836" t="s">
        <v>1155</v>
      </c>
    </row>
    <row r="837" spans="1:1" x14ac:dyDescent="0.25">
      <c r="A837" t="s">
        <v>1156</v>
      </c>
    </row>
    <row r="838" spans="1:1" x14ac:dyDescent="0.25">
      <c r="A838" t="s">
        <v>1157</v>
      </c>
    </row>
    <row r="839" spans="1:1" x14ac:dyDescent="0.25">
      <c r="A839" t="s">
        <v>1158</v>
      </c>
    </row>
    <row r="840" spans="1:1" x14ac:dyDescent="0.25">
      <c r="A840" t="s">
        <v>1159</v>
      </c>
    </row>
    <row r="841" spans="1:1" x14ac:dyDescent="0.25">
      <c r="A841" t="s">
        <v>1160</v>
      </c>
    </row>
    <row r="842" spans="1:1" x14ac:dyDescent="0.25">
      <c r="A842" t="s">
        <v>1161</v>
      </c>
    </row>
    <row r="843" spans="1:1" x14ac:dyDescent="0.25">
      <c r="A843" t="s">
        <v>1162</v>
      </c>
    </row>
    <row r="844" spans="1:1" x14ac:dyDescent="0.25">
      <c r="A844" t="s">
        <v>1163</v>
      </c>
    </row>
    <row r="845" spans="1:1" x14ac:dyDescent="0.25">
      <c r="A845" t="s">
        <v>1164</v>
      </c>
    </row>
    <row r="846" spans="1:1" x14ac:dyDescent="0.25">
      <c r="A846" t="s">
        <v>1165</v>
      </c>
    </row>
    <row r="847" spans="1:1" x14ac:dyDescent="0.25">
      <c r="A847" t="s">
        <v>1166</v>
      </c>
    </row>
    <row r="848" spans="1:1" x14ac:dyDescent="0.25">
      <c r="A848" t="s">
        <v>1167</v>
      </c>
    </row>
    <row r="849" spans="1:1" x14ac:dyDescent="0.25">
      <c r="A849" t="s">
        <v>1168</v>
      </c>
    </row>
    <row r="850" spans="1:1" x14ac:dyDescent="0.25">
      <c r="A850" t="s">
        <v>1169</v>
      </c>
    </row>
    <row r="851" spans="1:1" x14ac:dyDescent="0.25">
      <c r="A851" t="s">
        <v>1170</v>
      </c>
    </row>
    <row r="852" spans="1:1" x14ac:dyDescent="0.25">
      <c r="A852" t="s">
        <v>1171</v>
      </c>
    </row>
    <row r="853" spans="1:1" x14ac:dyDescent="0.25">
      <c r="A853" t="s">
        <v>1172</v>
      </c>
    </row>
    <row r="854" spans="1:1" x14ac:dyDescent="0.25">
      <c r="A854" t="s">
        <v>1173</v>
      </c>
    </row>
    <row r="855" spans="1:1" x14ac:dyDescent="0.25">
      <c r="A855" t="s">
        <v>1174</v>
      </c>
    </row>
    <row r="856" spans="1:1" x14ac:dyDescent="0.25">
      <c r="A856" t="s">
        <v>1175</v>
      </c>
    </row>
    <row r="857" spans="1:1" x14ac:dyDescent="0.25">
      <c r="A857" t="s">
        <v>1176</v>
      </c>
    </row>
    <row r="858" spans="1:1" x14ac:dyDescent="0.25">
      <c r="A858" t="s">
        <v>1177</v>
      </c>
    </row>
    <row r="859" spans="1:1" x14ac:dyDescent="0.25">
      <c r="A859" t="s">
        <v>1178</v>
      </c>
    </row>
    <row r="860" spans="1:1" x14ac:dyDescent="0.25">
      <c r="A860" t="s">
        <v>1179</v>
      </c>
    </row>
    <row r="861" spans="1:1" x14ac:dyDescent="0.25">
      <c r="A861" t="s">
        <v>1180</v>
      </c>
    </row>
    <row r="862" spans="1:1" x14ac:dyDescent="0.25">
      <c r="A862" t="s">
        <v>1181</v>
      </c>
    </row>
    <row r="863" spans="1:1" x14ac:dyDescent="0.25">
      <c r="A863" t="s">
        <v>1182</v>
      </c>
    </row>
    <row r="864" spans="1:1" x14ac:dyDescent="0.25">
      <c r="A864" t="s">
        <v>1183</v>
      </c>
    </row>
    <row r="865" spans="1:1" x14ac:dyDescent="0.25">
      <c r="A865" t="s">
        <v>1184</v>
      </c>
    </row>
    <row r="866" spans="1:1" x14ac:dyDescent="0.25">
      <c r="A866" t="s">
        <v>1185</v>
      </c>
    </row>
    <row r="867" spans="1:1" x14ac:dyDescent="0.25">
      <c r="A867" t="s">
        <v>1186</v>
      </c>
    </row>
    <row r="868" spans="1:1" x14ac:dyDescent="0.25">
      <c r="A868" t="s">
        <v>1187</v>
      </c>
    </row>
    <row r="869" spans="1:1" x14ac:dyDescent="0.25">
      <c r="A869" t="s">
        <v>1188</v>
      </c>
    </row>
    <row r="870" spans="1:1" x14ac:dyDescent="0.25">
      <c r="A870" t="s">
        <v>1189</v>
      </c>
    </row>
    <row r="871" spans="1:1" x14ac:dyDescent="0.25">
      <c r="A871" t="s">
        <v>1190</v>
      </c>
    </row>
    <row r="872" spans="1:1" x14ac:dyDescent="0.25">
      <c r="A872" t="s">
        <v>1191</v>
      </c>
    </row>
    <row r="873" spans="1:1" x14ac:dyDescent="0.25">
      <c r="A873" t="s">
        <v>1192</v>
      </c>
    </row>
    <row r="874" spans="1:1" x14ac:dyDescent="0.25">
      <c r="A874" t="s">
        <v>1193</v>
      </c>
    </row>
    <row r="875" spans="1:1" x14ac:dyDescent="0.25">
      <c r="A875" t="s">
        <v>1194</v>
      </c>
    </row>
    <row r="876" spans="1:1" x14ac:dyDescent="0.25">
      <c r="A876" t="s">
        <v>1195</v>
      </c>
    </row>
    <row r="877" spans="1:1" x14ac:dyDescent="0.25">
      <c r="A877" t="s">
        <v>1196</v>
      </c>
    </row>
    <row r="878" spans="1:1" x14ac:dyDescent="0.25">
      <c r="A878" t="s">
        <v>1197</v>
      </c>
    </row>
    <row r="879" spans="1:1" x14ac:dyDescent="0.25">
      <c r="A879" t="s">
        <v>1198</v>
      </c>
    </row>
    <row r="880" spans="1:1" x14ac:dyDescent="0.25">
      <c r="A880" t="s">
        <v>1199</v>
      </c>
    </row>
    <row r="881" spans="1:1" x14ac:dyDescent="0.25">
      <c r="A881" t="s">
        <v>1200</v>
      </c>
    </row>
    <row r="882" spans="1:1" x14ac:dyDescent="0.25">
      <c r="A882" t="s">
        <v>1201</v>
      </c>
    </row>
    <row r="883" spans="1:1" x14ac:dyDescent="0.25">
      <c r="A883" t="s">
        <v>1202</v>
      </c>
    </row>
    <row r="884" spans="1:1" x14ac:dyDescent="0.25">
      <c r="A884" t="s">
        <v>1203</v>
      </c>
    </row>
    <row r="885" spans="1:1" x14ac:dyDescent="0.25">
      <c r="A885" t="s">
        <v>1204</v>
      </c>
    </row>
    <row r="886" spans="1:1" x14ac:dyDescent="0.25">
      <c r="A886" t="s">
        <v>1205</v>
      </c>
    </row>
    <row r="887" spans="1:1" x14ac:dyDescent="0.25">
      <c r="A887" t="s">
        <v>1206</v>
      </c>
    </row>
    <row r="888" spans="1:1" x14ac:dyDescent="0.25">
      <c r="A888" t="s">
        <v>1207</v>
      </c>
    </row>
    <row r="889" spans="1:1" x14ac:dyDescent="0.25">
      <c r="A889" t="s">
        <v>1208</v>
      </c>
    </row>
    <row r="890" spans="1:1" x14ac:dyDescent="0.25">
      <c r="A890" t="s">
        <v>1209</v>
      </c>
    </row>
    <row r="891" spans="1:1" x14ac:dyDescent="0.25">
      <c r="A891" t="s">
        <v>1210</v>
      </c>
    </row>
    <row r="892" spans="1:1" x14ac:dyDescent="0.25">
      <c r="A892" t="s">
        <v>1211</v>
      </c>
    </row>
    <row r="893" spans="1:1" x14ac:dyDescent="0.25">
      <c r="A893" t="s">
        <v>1212</v>
      </c>
    </row>
    <row r="894" spans="1:1" x14ac:dyDescent="0.25">
      <c r="A894" t="s">
        <v>1213</v>
      </c>
    </row>
    <row r="895" spans="1:1" x14ac:dyDescent="0.25">
      <c r="A895" t="s">
        <v>1214</v>
      </c>
    </row>
    <row r="896" spans="1:1" x14ac:dyDescent="0.25">
      <c r="A896" t="s">
        <v>1215</v>
      </c>
    </row>
    <row r="897" spans="1:1" x14ac:dyDescent="0.25">
      <c r="A897" t="s">
        <v>1216</v>
      </c>
    </row>
    <row r="898" spans="1:1" x14ac:dyDescent="0.25">
      <c r="A898" t="s">
        <v>1217</v>
      </c>
    </row>
    <row r="899" spans="1:1" x14ac:dyDescent="0.25">
      <c r="A899" t="s">
        <v>1218</v>
      </c>
    </row>
    <row r="900" spans="1:1" x14ac:dyDescent="0.25">
      <c r="A900" t="s">
        <v>1219</v>
      </c>
    </row>
    <row r="901" spans="1:1" x14ac:dyDescent="0.25">
      <c r="A901" t="s">
        <v>1220</v>
      </c>
    </row>
    <row r="902" spans="1:1" x14ac:dyDescent="0.25">
      <c r="A902" t="s">
        <v>1221</v>
      </c>
    </row>
    <row r="903" spans="1:1" x14ac:dyDescent="0.25">
      <c r="A903" t="s">
        <v>1222</v>
      </c>
    </row>
    <row r="904" spans="1:1" x14ac:dyDescent="0.25">
      <c r="A904" t="s">
        <v>1223</v>
      </c>
    </row>
    <row r="905" spans="1:1" x14ac:dyDescent="0.25">
      <c r="A905" t="s">
        <v>1224</v>
      </c>
    </row>
    <row r="906" spans="1:1" x14ac:dyDescent="0.25">
      <c r="A906" t="s">
        <v>1225</v>
      </c>
    </row>
    <row r="907" spans="1:1" x14ac:dyDescent="0.25">
      <c r="A907" t="s">
        <v>1226</v>
      </c>
    </row>
    <row r="908" spans="1:1" x14ac:dyDescent="0.25">
      <c r="A908" t="s">
        <v>1227</v>
      </c>
    </row>
    <row r="909" spans="1:1" x14ac:dyDescent="0.25">
      <c r="A909" t="s">
        <v>1228</v>
      </c>
    </row>
    <row r="910" spans="1:1" x14ac:dyDescent="0.25">
      <c r="A910" t="s">
        <v>1229</v>
      </c>
    </row>
    <row r="911" spans="1:1" x14ac:dyDescent="0.25">
      <c r="A911" t="s">
        <v>1230</v>
      </c>
    </row>
    <row r="912" spans="1:1" x14ac:dyDescent="0.25">
      <c r="A912" t="s">
        <v>1231</v>
      </c>
    </row>
    <row r="913" spans="1:1" x14ac:dyDescent="0.25">
      <c r="A913" t="s">
        <v>1232</v>
      </c>
    </row>
    <row r="914" spans="1:1" x14ac:dyDescent="0.25">
      <c r="A914" t="s">
        <v>1233</v>
      </c>
    </row>
    <row r="915" spans="1:1" x14ac:dyDescent="0.25">
      <c r="A915" t="s">
        <v>1234</v>
      </c>
    </row>
    <row r="916" spans="1:1" x14ac:dyDescent="0.25">
      <c r="A916" t="s">
        <v>1235</v>
      </c>
    </row>
    <row r="917" spans="1:1" x14ac:dyDescent="0.25">
      <c r="A917" t="s">
        <v>1236</v>
      </c>
    </row>
    <row r="918" spans="1:1" x14ac:dyDescent="0.25">
      <c r="A918" t="s">
        <v>1237</v>
      </c>
    </row>
    <row r="919" spans="1:1" x14ac:dyDescent="0.25">
      <c r="A919" t="s">
        <v>1238</v>
      </c>
    </row>
    <row r="920" spans="1:1" x14ac:dyDescent="0.25">
      <c r="A920" t="s">
        <v>1239</v>
      </c>
    </row>
    <row r="921" spans="1:1" x14ac:dyDescent="0.25">
      <c r="A921" t="s">
        <v>1240</v>
      </c>
    </row>
    <row r="922" spans="1:1" x14ac:dyDescent="0.25">
      <c r="A922" t="s">
        <v>1241</v>
      </c>
    </row>
    <row r="923" spans="1:1" x14ac:dyDescent="0.25">
      <c r="A923" t="s">
        <v>1242</v>
      </c>
    </row>
    <row r="924" spans="1:1" x14ac:dyDescent="0.25">
      <c r="A924" t="s">
        <v>1243</v>
      </c>
    </row>
    <row r="925" spans="1:1" x14ac:dyDescent="0.25">
      <c r="A925" t="s">
        <v>1244</v>
      </c>
    </row>
    <row r="926" spans="1:1" x14ac:dyDescent="0.25">
      <c r="A926" t="s">
        <v>1245</v>
      </c>
    </row>
    <row r="927" spans="1:1" x14ac:dyDescent="0.25">
      <c r="A927" t="s">
        <v>1246</v>
      </c>
    </row>
    <row r="928" spans="1:1" x14ac:dyDescent="0.25">
      <c r="A928" t="s">
        <v>1247</v>
      </c>
    </row>
    <row r="929" spans="1:1" x14ac:dyDescent="0.25">
      <c r="A929" t="s">
        <v>1248</v>
      </c>
    </row>
    <row r="930" spans="1:1" x14ac:dyDescent="0.25">
      <c r="A930" t="s">
        <v>1249</v>
      </c>
    </row>
    <row r="931" spans="1:1" x14ac:dyDescent="0.25">
      <c r="A931" t="s">
        <v>1250</v>
      </c>
    </row>
    <row r="932" spans="1:1" x14ac:dyDescent="0.25">
      <c r="A932" t="s">
        <v>1251</v>
      </c>
    </row>
    <row r="933" spans="1:1" x14ac:dyDescent="0.25">
      <c r="A933" t="s">
        <v>1252</v>
      </c>
    </row>
    <row r="934" spans="1:1" x14ac:dyDescent="0.25">
      <c r="A934" t="s">
        <v>1253</v>
      </c>
    </row>
    <row r="935" spans="1:1" x14ac:dyDescent="0.25">
      <c r="A935" t="s">
        <v>1254</v>
      </c>
    </row>
    <row r="936" spans="1:1" x14ac:dyDescent="0.25">
      <c r="A936" t="s">
        <v>1255</v>
      </c>
    </row>
    <row r="937" spans="1:1" x14ac:dyDescent="0.25">
      <c r="A937" t="s">
        <v>1256</v>
      </c>
    </row>
    <row r="938" spans="1:1" x14ac:dyDescent="0.25">
      <c r="A938" t="s">
        <v>1257</v>
      </c>
    </row>
    <row r="939" spans="1:1" x14ac:dyDescent="0.25">
      <c r="A939" t="s">
        <v>1258</v>
      </c>
    </row>
    <row r="940" spans="1:1" x14ac:dyDescent="0.25">
      <c r="A940" t="s">
        <v>1259</v>
      </c>
    </row>
    <row r="941" spans="1:1" x14ac:dyDescent="0.25">
      <c r="A941" t="s">
        <v>1260</v>
      </c>
    </row>
    <row r="942" spans="1:1" x14ac:dyDescent="0.25">
      <c r="A942" t="s">
        <v>1261</v>
      </c>
    </row>
    <row r="943" spans="1:1" x14ac:dyDescent="0.25">
      <c r="A943" t="s">
        <v>1262</v>
      </c>
    </row>
    <row r="944" spans="1:1" x14ac:dyDescent="0.25">
      <c r="A944" t="s">
        <v>1263</v>
      </c>
    </row>
    <row r="945" spans="1:1" x14ac:dyDescent="0.25">
      <c r="A945" t="s">
        <v>1264</v>
      </c>
    </row>
    <row r="946" spans="1:1" x14ac:dyDescent="0.25">
      <c r="A946" t="s">
        <v>1265</v>
      </c>
    </row>
    <row r="947" spans="1:1" x14ac:dyDescent="0.25">
      <c r="A947" t="s">
        <v>1266</v>
      </c>
    </row>
    <row r="948" spans="1:1" x14ac:dyDescent="0.25">
      <c r="A948" t="s">
        <v>1267</v>
      </c>
    </row>
    <row r="949" spans="1:1" x14ac:dyDescent="0.25">
      <c r="A949" t="s">
        <v>1268</v>
      </c>
    </row>
    <row r="950" spans="1:1" x14ac:dyDescent="0.25">
      <c r="A950" t="s">
        <v>1269</v>
      </c>
    </row>
    <row r="951" spans="1:1" x14ac:dyDescent="0.25">
      <c r="A951" t="s">
        <v>1270</v>
      </c>
    </row>
    <row r="952" spans="1:1" x14ac:dyDescent="0.25">
      <c r="A952" t="s">
        <v>1271</v>
      </c>
    </row>
    <row r="953" spans="1:1" x14ac:dyDescent="0.25">
      <c r="A953" t="s">
        <v>1272</v>
      </c>
    </row>
    <row r="954" spans="1:1" x14ac:dyDescent="0.25">
      <c r="A954" t="s">
        <v>1273</v>
      </c>
    </row>
    <row r="955" spans="1:1" x14ac:dyDescent="0.25">
      <c r="A955" t="s">
        <v>1274</v>
      </c>
    </row>
    <row r="956" spans="1:1" x14ac:dyDescent="0.25">
      <c r="A956" t="s">
        <v>1275</v>
      </c>
    </row>
    <row r="957" spans="1:1" x14ac:dyDescent="0.25">
      <c r="A957" t="s">
        <v>1276</v>
      </c>
    </row>
    <row r="958" spans="1:1" x14ac:dyDescent="0.25">
      <c r="A958" t="s">
        <v>1277</v>
      </c>
    </row>
    <row r="959" spans="1:1" x14ac:dyDescent="0.25">
      <c r="A959" t="s">
        <v>1278</v>
      </c>
    </row>
    <row r="960" spans="1:1" x14ac:dyDescent="0.25">
      <c r="A960" t="s">
        <v>1279</v>
      </c>
    </row>
    <row r="961" spans="1:1" x14ac:dyDescent="0.25">
      <c r="A961" t="s">
        <v>1280</v>
      </c>
    </row>
    <row r="962" spans="1:1" x14ac:dyDescent="0.25">
      <c r="A962" t="s">
        <v>1281</v>
      </c>
    </row>
    <row r="963" spans="1:1" x14ac:dyDescent="0.25">
      <c r="A963" t="s">
        <v>1282</v>
      </c>
    </row>
    <row r="964" spans="1:1" x14ac:dyDescent="0.25">
      <c r="A964" t="s">
        <v>1283</v>
      </c>
    </row>
    <row r="965" spans="1:1" x14ac:dyDescent="0.25">
      <c r="A965" t="s">
        <v>1284</v>
      </c>
    </row>
    <row r="966" spans="1:1" x14ac:dyDescent="0.25">
      <c r="A966" t="s">
        <v>1285</v>
      </c>
    </row>
    <row r="967" spans="1:1" x14ac:dyDescent="0.25">
      <c r="A967" t="s">
        <v>1286</v>
      </c>
    </row>
    <row r="968" spans="1:1" x14ac:dyDescent="0.25">
      <c r="A968" t="s">
        <v>1287</v>
      </c>
    </row>
    <row r="969" spans="1:1" x14ac:dyDescent="0.25">
      <c r="A969" t="s">
        <v>1288</v>
      </c>
    </row>
    <row r="970" spans="1:1" x14ac:dyDescent="0.25">
      <c r="A970" t="s">
        <v>1289</v>
      </c>
    </row>
    <row r="971" spans="1:1" x14ac:dyDescent="0.25">
      <c r="A971" t="s">
        <v>1290</v>
      </c>
    </row>
    <row r="972" spans="1:1" x14ac:dyDescent="0.25">
      <c r="A972" t="s">
        <v>1291</v>
      </c>
    </row>
    <row r="973" spans="1:1" x14ac:dyDescent="0.25">
      <c r="A973" t="s">
        <v>1292</v>
      </c>
    </row>
    <row r="974" spans="1:1" x14ac:dyDescent="0.25">
      <c r="A974" t="s">
        <v>1293</v>
      </c>
    </row>
    <row r="975" spans="1:1" x14ac:dyDescent="0.25">
      <c r="A975" t="s">
        <v>1294</v>
      </c>
    </row>
    <row r="976" spans="1:1" x14ac:dyDescent="0.25">
      <c r="A976" t="s">
        <v>1295</v>
      </c>
    </row>
    <row r="977" spans="1:1" x14ac:dyDescent="0.25">
      <c r="A977" t="s">
        <v>1296</v>
      </c>
    </row>
    <row r="978" spans="1:1" x14ac:dyDescent="0.25">
      <c r="A978" t="s">
        <v>1297</v>
      </c>
    </row>
    <row r="979" spans="1:1" x14ac:dyDescent="0.25">
      <c r="A979" t="s">
        <v>1298</v>
      </c>
    </row>
    <row r="980" spans="1:1" x14ac:dyDescent="0.25">
      <c r="A980" t="s">
        <v>1299</v>
      </c>
    </row>
    <row r="981" spans="1:1" x14ac:dyDescent="0.25">
      <c r="A981" t="s">
        <v>1300</v>
      </c>
    </row>
    <row r="982" spans="1:1" x14ac:dyDescent="0.25">
      <c r="A982" t="s">
        <v>1301</v>
      </c>
    </row>
    <row r="983" spans="1:1" x14ac:dyDescent="0.25">
      <c r="A983" t="s">
        <v>1302</v>
      </c>
    </row>
    <row r="984" spans="1:1" x14ac:dyDescent="0.25">
      <c r="A984" t="s">
        <v>1303</v>
      </c>
    </row>
    <row r="985" spans="1:1" x14ac:dyDescent="0.25">
      <c r="A985" t="s">
        <v>1304</v>
      </c>
    </row>
    <row r="986" spans="1:1" x14ac:dyDescent="0.25">
      <c r="A986" t="s">
        <v>1305</v>
      </c>
    </row>
    <row r="987" spans="1:1" x14ac:dyDescent="0.25">
      <c r="A987" t="s">
        <v>1306</v>
      </c>
    </row>
    <row r="988" spans="1:1" x14ac:dyDescent="0.25">
      <c r="A988" t="s">
        <v>1307</v>
      </c>
    </row>
    <row r="989" spans="1:1" x14ac:dyDescent="0.25">
      <c r="A989" t="s">
        <v>1308</v>
      </c>
    </row>
    <row r="990" spans="1:1" x14ac:dyDescent="0.25">
      <c r="A990" t="s">
        <v>1309</v>
      </c>
    </row>
    <row r="991" spans="1:1" x14ac:dyDescent="0.25">
      <c r="A991" t="s">
        <v>1310</v>
      </c>
    </row>
    <row r="992" spans="1:1" x14ac:dyDescent="0.25">
      <c r="A992" t="s">
        <v>1311</v>
      </c>
    </row>
    <row r="993" spans="1:1" x14ac:dyDescent="0.25">
      <c r="A993" t="s">
        <v>1312</v>
      </c>
    </row>
    <row r="994" spans="1:1" x14ac:dyDescent="0.25">
      <c r="A994" t="s">
        <v>1313</v>
      </c>
    </row>
    <row r="995" spans="1:1" x14ac:dyDescent="0.25">
      <c r="A995" t="s">
        <v>1314</v>
      </c>
    </row>
    <row r="996" spans="1:1" x14ac:dyDescent="0.25">
      <c r="A996" t="s">
        <v>1315</v>
      </c>
    </row>
    <row r="997" spans="1:1" x14ac:dyDescent="0.25">
      <c r="A997" t="s">
        <v>1316</v>
      </c>
    </row>
    <row r="998" spans="1:1" x14ac:dyDescent="0.25">
      <c r="A998" t="s">
        <v>1317</v>
      </c>
    </row>
    <row r="999" spans="1:1" x14ac:dyDescent="0.25">
      <c r="A999" t="s">
        <v>1318</v>
      </c>
    </row>
    <row r="1000" spans="1:1" x14ac:dyDescent="0.25">
      <c r="A1000" t="s">
        <v>1319</v>
      </c>
    </row>
    <row r="1001" spans="1:1" x14ac:dyDescent="0.25">
      <c r="A1001" t="s">
        <v>1320</v>
      </c>
    </row>
    <row r="1002" spans="1:1" x14ac:dyDescent="0.25">
      <c r="A1002" t="s">
        <v>1321</v>
      </c>
    </row>
    <row r="1003" spans="1:1" x14ac:dyDescent="0.25">
      <c r="A1003" t="s">
        <v>1322</v>
      </c>
    </row>
    <row r="1004" spans="1:1" x14ac:dyDescent="0.25">
      <c r="A1004" t="s">
        <v>1323</v>
      </c>
    </row>
    <row r="1005" spans="1:1" x14ac:dyDescent="0.25">
      <c r="A1005" t="s">
        <v>1324</v>
      </c>
    </row>
    <row r="1006" spans="1:1" x14ac:dyDescent="0.25">
      <c r="A1006" t="s">
        <v>1325</v>
      </c>
    </row>
    <row r="1007" spans="1:1" x14ac:dyDescent="0.25">
      <c r="A1007" t="s">
        <v>1326</v>
      </c>
    </row>
    <row r="1008" spans="1:1" x14ac:dyDescent="0.25">
      <c r="A1008" t="s">
        <v>1327</v>
      </c>
    </row>
    <row r="1009" spans="1:1" x14ac:dyDescent="0.25">
      <c r="A1009" t="s">
        <v>1328</v>
      </c>
    </row>
    <row r="1010" spans="1:1" x14ac:dyDescent="0.25">
      <c r="A1010" t="s">
        <v>1329</v>
      </c>
    </row>
    <row r="1011" spans="1:1" x14ac:dyDescent="0.25">
      <c r="A1011" t="s">
        <v>1330</v>
      </c>
    </row>
    <row r="1012" spans="1:1" x14ac:dyDescent="0.25">
      <c r="A1012" t="s">
        <v>1331</v>
      </c>
    </row>
    <row r="1013" spans="1:1" x14ac:dyDescent="0.25">
      <c r="A1013" t="s">
        <v>1332</v>
      </c>
    </row>
    <row r="1014" spans="1:1" x14ac:dyDescent="0.25">
      <c r="A1014" t="s">
        <v>1333</v>
      </c>
    </row>
    <row r="1015" spans="1:1" x14ac:dyDescent="0.25">
      <c r="A1015" t="s">
        <v>1334</v>
      </c>
    </row>
    <row r="1016" spans="1:1" x14ac:dyDescent="0.25">
      <c r="A1016" t="s">
        <v>1335</v>
      </c>
    </row>
    <row r="1017" spans="1:1" x14ac:dyDescent="0.25">
      <c r="A1017" t="s">
        <v>1336</v>
      </c>
    </row>
    <row r="1018" spans="1:1" x14ac:dyDescent="0.25">
      <c r="A1018" t="s">
        <v>1337</v>
      </c>
    </row>
    <row r="1019" spans="1:1" x14ac:dyDescent="0.25">
      <c r="A1019" t="s">
        <v>1338</v>
      </c>
    </row>
    <row r="1020" spans="1:1" x14ac:dyDescent="0.25">
      <c r="A1020" t="s">
        <v>1339</v>
      </c>
    </row>
    <row r="1021" spans="1:1" x14ac:dyDescent="0.25">
      <c r="A1021" t="s">
        <v>1340</v>
      </c>
    </row>
    <row r="1022" spans="1:1" x14ac:dyDescent="0.25">
      <c r="A1022" t="s">
        <v>1341</v>
      </c>
    </row>
    <row r="1023" spans="1:1" x14ac:dyDescent="0.25">
      <c r="A1023" t="s">
        <v>1342</v>
      </c>
    </row>
    <row r="1024" spans="1:1" x14ac:dyDescent="0.25">
      <c r="A1024" t="s">
        <v>1343</v>
      </c>
    </row>
    <row r="1025" spans="1:1" x14ac:dyDescent="0.25">
      <c r="A1025" t="s">
        <v>1344</v>
      </c>
    </row>
    <row r="1026" spans="1:1" x14ac:dyDescent="0.25">
      <c r="A1026" t="s">
        <v>1345</v>
      </c>
    </row>
    <row r="1027" spans="1:1" x14ac:dyDescent="0.25">
      <c r="A1027" t="s">
        <v>1346</v>
      </c>
    </row>
    <row r="1028" spans="1:1" x14ac:dyDescent="0.25">
      <c r="A1028" t="s">
        <v>1347</v>
      </c>
    </row>
    <row r="1029" spans="1:1" x14ac:dyDescent="0.25">
      <c r="A1029" t="s">
        <v>1348</v>
      </c>
    </row>
    <row r="1030" spans="1:1" x14ac:dyDescent="0.25">
      <c r="A1030" t="s">
        <v>1349</v>
      </c>
    </row>
    <row r="1031" spans="1:1" x14ac:dyDescent="0.25">
      <c r="A1031" t="s">
        <v>1350</v>
      </c>
    </row>
    <row r="1032" spans="1:1" x14ac:dyDescent="0.25">
      <c r="A1032" t="s">
        <v>1351</v>
      </c>
    </row>
    <row r="1033" spans="1:1" x14ac:dyDescent="0.25">
      <c r="A1033" t="s">
        <v>1352</v>
      </c>
    </row>
    <row r="1034" spans="1:1" x14ac:dyDescent="0.25">
      <c r="A1034" t="s">
        <v>1353</v>
      </c>
    </row>
    <row r="1035" spans="1:1" x14ac:dyDescent="0.25">
      <c r="A1035" t="s">
        <v>1354</v>
      </c>
    </row>
    <row r="1036" spans="1:1" x14ac:dyDescent="0.25">
      <c r="A1036" t="s">
        <v>1355</v>
      </c>
    </row>
    <row r="1037" spans="1:1" x14ac:dyDescent="0.25">
      <c r="A1037" t="s">
        <v>1356</v>
      </c>
    </row>
    <row r="1038" spans="1:1" x14ac:dyDescent="0.25">
      <c r="A1038" t="s">
        <v>1357</v>
      </c>
    </row>
    <row r="1039" spans="1:1" x14ac:dyDescent="0.25">
      <c r="A1039" t="s">
        <v>1358</v>
      </c>
    </row>
    <row r="1040" spans="1:1" x14ac:dyDescent="0.25">
      <c r="A1040" t="s">
        <v>1359</v>
      </c>
    </row>
    <row r="1041" spans="1:1" x14ac:dyDescent="0.25">
      <c r="A1041" t="s">
        <v>1360</v>
      </c>
    </row>
    <row r="1042" spans="1:1" x14ac:dyDescent="0.25">
      <c r="A1042" t="s">
        <v>1361</v>
      </c>
    </row>
    <row r="1043" spans="1:1" x14ac:dyDescent="0.25">
      <c r="A1043" t="s">
        <v>1362</v>
      </c>
    </row>
    <row r="1044" spans="1:1" x14ac:dyDescent="0.25">
      <c r="A1044" t="s">
        <v>1363</v>
      </c>
    </row>
    <row r="1045" spans="1:1" x14ac:dyDescent="0.25">
      <c r="A1045" t="s">
        <v>1364</v>
      </c>
    </row>
    <row r="1046" spans="1:1" x14ac:dyDescent="0.25">
      <c r="A1046" t="s">
        <v>1365</v>
      </c>
    </row>
    <row r="1047" spans="1:1" x14ac:dyDescent="0.25">
      <c r="A1047" t="s">
        <v>1366</v>
      </c>
    </row>
    <row r="1048" spans="1:1" x14ac:dyDescent="0.25">
      <c r="A1048" t="s">
        <v>1367</v>
      </c>
    </row>
    <row r="1049" spans="1:1" x14ac:dyDescent="0.25">
      <c r="A1049" t="s">
        <v>1368</v>
      </c>
    </row>
    <row r="1050" spans="1:1" x14ac:dyDescent="0.25">
      <c r="A1050" t="s">
        <v>1369</v>
      </c>
    </row>
    <row r="1051" spans="1:1" x14ac:dyDescent="0.25">
      <c r="A1051" t="s">
        <v>1370</v>
      </c>
    </row>
    <row r="1052" spans="1:1" x14ac:dyDescent="0.25">
      <c r="A1052" t="s">
        <v>1371</v>
      </c>
    </row>
    <row r="1053" spans="1:1" x14ac:dyDescent="0.25">
      <c r="A1053" t="s">
        <v>1372</v>
      </c>
    </row>
    <row r="1054" spans="1:1" x14ac:dyDescent="0.25">
      <c r="A1054" t="s">
        <v>1373</v>
      </c>
    </row>
    <row r="1055" spans="1:1" x14ac:dyDescent="0.25">
      <c r="A1055" t="s">
        <v>1374</v>
      </c>
    </row>
    <row r="1056" spans="1:1" x14ac:dyDescent="0.25">
      <c r="A1056" t="s">
        <v>1375</v>
      </c>
    </row>
    <row r="1057" spans="1:1" x14ac:dyDescent="0.25">
      <c r="A1057" t="s">
        <v>1376</v>
      </c>
    </row>
    <row r="1058" spans="1:1" x14ac:dyDescent="0.25">
      <c r="A1058" t="s">
        <v>1377</v>
      </c>
    </row>
    <row r="1059" spans="1:1" x14ac:dyDescent="0.25">
      <c r="A1059" t="s">
        <v>1378</v>
      </c>
    </row>
    <row r="1060" spans="1:1" x14ac:dyDescent="0.25">
      <c r="A1060" t="s">
        <v>1379</v>
      </c>
    </row>
    <row r="1061" spans="1:1" x14ac:dyDescent="0.25">
      <c r="A1061" t="s">
        <v>1380</v>
      </c>
    </row>
    <row r="1062" spans="1:1" x14ac:dyDescent="0.25">
      <c r="A1062" t="s">
        <v>1381</v>
      </c>
    </row>
    <row r="1063" spans="1:1" x14ac:dyDescent="0.25">
      <c r="A1063" t="s">
        <v>1382</v>
      </c>
    </row>
    <row r="1064" spans="1:1" x14ac:dyDescent="0.25">
      <c r="A1064" t="s">
        <v>1383</v>
      </c>
    </row>
    <row r="1065" spans="1:1" x14ac:dyDescent="0.25">
      <c r="A1065" t="s">
        <v>1384</v>
      </c>
    </row>
    <row r="1066" spans="1:1" x14ac:dyDescent="0.25">
      <c r="A1066" t="s">
        <v>1385</v>
      </c>
    </row>
    <row r="1067" spans="1:1" x14ac:dyDescent="0.25">
      <c r="A1067" t="s">
        <v>1386</v>
      </c>
    </row>
    <row r="1068" spans="1:1" x14ac:dyDescent="0.25">
      <c r="A1068" t="s">
        <v>1387</v>
      </c>
    </row>
    <row r="1069" spans="1:1" x14ac:dyDescent="0.25">
      <c r="A1069" t="s">
        <v>1388</v>
      </c>
    </row>
    <row r="1070" spans="1:1" x14ac:dyDescent="0.25">
      <c r="A1070" t="s">
        <v>1389</v>
      </c>
    </row>
    <row r="1071" spans="1:1" x14ac:dyDescent="0.25">
      <c r="A1071" t="s">
        <v>1390</v>
      </c>
    </row>
    <row r="1072" spans="1:1" x14ac:dyDescent="0.25">
      <c r="A1072" t="s">
        <v>1391</v>
      </c>
    </row>
    <row r="1073" spans="1:1" x14ac:dyDescent="0.25">
      <c r="A1073" t="s">
        <v>1392</v>
      </c>
    </row>
    <row r="1074" spans="1:1" x14ac:dyDescent="0.25">
      <c r="A1074" t="s">
        <v>1393</v>
      </c>
    </row>
    <row r="1075" spans="1:1" x14ac:dyDescent="0.25">
      <c r="A1075" t="s">
        <v>1394</v>
      </c>
    </row>
    <row r="1076" spans="1:1" x14ac:dyDescent="0.25">
      <c r="A1076" t="s">
        <v>1395</v>
      </c>
    </row>
    <row r="1077" spans="1:1" x14ac:dyDescent="0.25">
      <c r="A1077" t="s">
        <v>1396</v>
      </c>
    </row>
    <row r="1078" spans="1:1" x14ac:dyDescent="0.25">
      <c r="A1078" t="s">
        <v>1397</v>
      </c>
    </row>
    <row r="1079" spans="1:1" x14ac:dyDescent="0.25">
      <c r="A1079" t="s">
        <v>1398</v>
      </c>
    </row>
    <row r="1080" spans="1:1" x14ac:dyDescent="0.25">
      <c r="A1080" t="s">
        <v>1399</v>
      </c>
    </row>
    <row r="1081" spans="1:1" x14ac:dyDescent="0.25">
      <c r="A1081" t="s">
        <v>1400</v>
      </c>
    </row>
    <row r="1082" spans="1:1" x14ac:dyDescent="0.25">
      <c r="A1082" t="s">
        <v>1401</v>
      </c>
    </row>
    <row r="1083" spans="1:1" x14ac:dyDescent="0.25">
      <c r="A1083" t="s">
        <v>1402</v>
      </c>
    </row>
    <row r="1084" spans="1:1" x14ac:dyDescent="0.25">
      <c r="A1084" t="s">
        <v>1403</v>
      </c>
    </row>
    <row r="1085" spans="1:1" x14ac:dyDescent="0.25">
      <c r="A1085" t="s">
        <v>1404</v>
      </c>
    </row>
    <row r="1086" spans="1:1" x14ac:dyDescent="0.25">
      <c r="A1086" t="s">
        <v>1405</v>
      </c>
    </row>
    <row r="1087" spans="1:1" x14ac:dyDescent="0.25">
      <c r="A1087" t="s">
        <v>1406</v>
      </c>
    </row>
    <row r="1088" spans="1:1" x14ac:dyDescent="0.25">
      <c r="A1088" t="s">
        <v>1407</v>
      </c>
    </row>
    <row r="1089" spans="1:1" x14ac:dyDescent="0.25">
      <c r="A1089" t="s">
        <v>1408</v>
      </c>
    </row>
    <row r="1090" spans="1:1" x14ac:dyDescent="0.25">
      <c r="A1090" t="s">
        <v>1409</v>
      </c>
    </row>
    <row r="1091" spans="1:1" x14ac:dyDescent="0.25">
      <c r="A1091" t="s">
        <v>1410</v>
      </c>
    </row>
    <row r="1092" spans="1:1" x14ac:dyDescent="0.25">
      <c r="A1092" t="s">
        <v>1411</v>
      </c>
    </row>
    <row r="1093" spans="1:1" x14ac:dyDescent="0.25">
      <c r="A1093" t="s">
        <v>1412</v>
      </c>
    </row>
    <row r="1094" spans="1:1" x14ac:dyDescent="0.25">
      <c r="A1094" t="s">
        <v>1413</v>
      </c>
    </row>
    <row r="1095" spans="1:1" x14ac:dyDescent="0.25">
      <c r="A1095" t="s">
        <v>1414</v>
      </c>
    </row>
    <row r="1096" spans="1:1" x14ac:dyDescent="0.25">
      <c r="A1096" t="s">
        <v>1415</v>
      </c>
    </row>
    <row r="1097" spans="1:1" x14ac:dyDescent="0.25">
      <c r="A1097" t="s">
        <v>1416</v>
      </c>
    </row>
    <row r="1098" spans="1:1" x14ac:dyDescent="0.25">
      <c r="A1098" t="s">
        <v>1417</v>
      </c>
    </row>
    <row r="1099" spans="1:1" x14ac:dyDescent="0.25">
      <c r="A1099" t="s">
        <v>1418</v>
      </c>
    </row>
    <row r="1100" spans="1:1" x14ac:dyDescent="0.25">
      <c r="A1100" t="s">
        <v>1419</v>
      </c>
    </row>
    <row r="1101" spans="1:1" x14ac:dyDescent="0.25">
      <c r="A1101" t="s">
        <v>1420</v>
      </c>
    </row>
    <row r="1102" spans="1:1" x14ac:dyDescent="0.25">
      <c r="A1102" t="s">
        <v>1421</v>
      </c>
    </row>
    <row r="1103" spans="1:1" x14ac:dyDescent="0.25">
      <c r="A1103" t="s">
        <v>1422</v>
      </c>
    </row>
    <row r="1104" spans="1:1" x14ac:dyDescent="0.25">
      <c r="A1104" t="s">
        <v>1423</v>
      </c>
    </row>
    <row r="1105" spans="1:1" x14ac:dyDescent="0.25">
      <c r="A1105" t="s">
        <v>1424</v>
      </c>
    </row>
    <row r="1106" spans="1:1" x14ac:dyDescent="0.25">
      <c r="A1106" t="s">
        <v>1425</v>
      </c>
    </row>
    <row r="1107" spans="1:1" x14ac:dyDescent="0.25">
      <c r="A1107" t="s">
        <v>1426</v>
      </c>
    </row>
    <row r="1108" spans="1:1" x14ac:dyDescent="0.25">
      <c r="A1108" t="s">
        <v>1427</v>
      </c>
    </row>
    <row r="1109" spans="1:1" x14ac:dyDescent="0.25">
      <c r="A1109" t="s">
        <v>1428</v>
      </c>
    </row>
    <row r="1110" spans="1:1" x14ac:dyDescent="0.25">
      <c r="A1110" t="s">
        <v>1429</v>
      </c>
    </row>
    <row r="1111" spans="1:1" x14ac:dyDescent="0.25">
      <c r="A1111" t="s">
        <v>1430</v>
      </c>
    </row>
    <row r="1112" spans="1:1" x14ac:dyDescent="0.25">
      <c r="A1112" t="s">
        <v>1431</v>
      </c>
    </row>
    <row r="1113" spans="1:1" x14ac:dyDescent="0.25">
      <c r="A1113" t="s">
        <v>1432</v>
      </c>
    </row>
    <row r="1114" spans="1:1" x14ac:dyDescent="0.25">
      <c r="A1114" t="s">
        <v>1433</v>
      </c>
    </row>
    <row r="1115" spans="1:1" x14ac:dyDescent="0.25">
      <c r="A1115" t="s">
        <v>1434</v>
      </c>
    </row>
    <row r="1116" spans="1:1" x14ac:dyDescent="0.25">
      <c r="A1116" t="s">
        <v>1435</v>
      </c>
    </row>
    <row r="1117" spans="1:1" x14ac:dyDescent="0.25">
      <c r="A1117" t="s">
        <v>1436</v>
      </c>
    </row>
    <row r="1118" spans="1:1" x14ac:dyDescent="0.25">
      <c r="A1118" t="s">
        <v>1437</v>
      </c>
    </row>
    <row r="1119" spans="1:1" x14ac:dyDescent="0.25">
      <c r="A1119" t="s">
        <v>1438</v>
      </c>
    </row>
    <row r="1120" spans="1:1" x14ac:dyDescent="0.25">
      <c r="A1120" t="s">
        <v>1439</v>
      </c>
    </row>
    <row r="1121" spans="1:1" x14ac:dyDescent="0.25">
      <c r="A1121" t="s">
        <v>1440</v>
      </c>
    </row>
    <row r="1122" spans="1:1" x14ac:dyDescent="0.25">
      <c r="A1122" t="s">
        <v>1441</v>
      </c>
    </row>
    <row r="1123" spans="1:1" x14ac:dyDescent="0.25">
      <c r="A1123" t="s">
        <v>1442</v>
      </c>
    </row>
    <row r="1124" spans="1:1" x14ac:dyDescent="0.25">
      <c r="A1124" t="s">
        <v>1443</v>
      </c>
    </row>
    <row r="1125" spans="1:1" x14ac:dyDescent="0.25">
      <c r="A1125" t="s">
        <v>1444</v>
      </c>
    </row>
    <row r="1126" spans="1:1" x14ac:dyDescent="0.25">
      <c r="A1126" t="s">
        <v>1445</v>
      </c>
    </row>
    <row r="1127" spans="1:1" x14ac:dyDescent="0.25">
      <c r="A1127" t="s">
        <v>1446</v>
      </c>
    </row>
    <row r="1128" spans="1:1" x14ac:dyDescent="0.25">
      <c r="A1128" t="s">
        <v>1447</v>
      </c>
    </row>
    <row r="1129" spans="1:1" x14ac:dyDescent="0.25">
      <c r="A1129" t="s">
        <v>1448</v>
      </c>
    </row>
    <row r="1130" spans="1:1" x14ac:dyDescent="0.25">
      <c r="A1130" t="s">
        <v>1449</v>
      </c>
    </row>
    <row r="1131" spans="1:1" x14ac:dyDescent="0.25">
      <c r="A1131" t="s">
        <v>1450</v>
      </c>
    </row>
    <row r="1132" spans="1:1" x14ac:dyDescent="0.25">
      <c r="A1132" t="s">
        <v>1451</v>
      </c>
    </row>
    <row r="1133" spans="1:1" x14ac:dyDescent="0.25">
      <c r="A1133" t="s">
        <v>1452</v>
      </c>
    </row>
    <row r="1134" spans="1:1" x14ac:dyDescent="0.25">
      <c r="A1134" t="s">
        <v>1453</v>
      </c>
    </row>
    <row r="1135" spans="1:1" x14ac:dyDescent="0.25">
      <c r="A1135" t="s">
        <v>1454</v>
      </c>
    </row>
    <row r="1136" spans="1:1" x14ac:dyDescent="0.25">
      <c r="A1136" t="s">
        <v>1455</v>
      </c>
    </row>
    <row r="1137" spans="1:1" x14ac:dyDescent="0.25">
      <c r="A1137" t="s">
        <v>1456</v>
      </c>
    </row>
    <row r="1138" spans="1:1" x14ac:dyDescent="0.25">
      <c r="A1138" t="s">
        <v>1457</v>
      </c>
    </row>
    <row r="1139" spans="1:1" x14ac:dyDescent="0.25">
      <c r="A1139" t="s">
        <v>1458</v>
      </c>
    </row>
    <row r="1140" spans="1:1" x14ac:dyDescent="0.25">
      <c r="A1140" t="s">
        <v>1459</v>
      </c>
    </row>
    <row r="1141" spans="1:1" x14ac:dyDescent="0.25">
      <c r="A1141" t="s">
        <v>1460</v>
      </c>
    </row>
    <row r="1142" spans="1:1" x14ac:dyDescent="0.25">
      <c r="A1142" t="s">
        <v>1461</v>
      </c>
    </row>
    <row r="1143" spans="1:1" x14ac:dyDescent="0.25">
      <c r="A1143" t="s">
        <v>1462</v>
      </c>
    </row>
    <row r="1144" spans="1:1" x14ac:dyDescent="0.25">
      <c r="A1144" t="s">
        <v>1463</v>
      </c>
    </row>
    <row r="1145" spans="1:1" x14ac:dyDescent="0.25">
      <c r="A1145" t="s">
        <v>1464</v>
      </c>
    </row>
    <row r="1146" spans="1:1" x14ac:dyDescent="0.25">
      <c r="A1146" t="s">
        <v>1465</v>
      </c>
    </row>
    <row r="1147" spans="1:1" x14ac:dyDescent="0.25">
      <c r="A1147" t="s">
        <v>1466</v>
      </c>
    </row>
    <row r="1148" spans="1:1" x14ac:dyDescent="0.25">
      <c r="A1148" t="s">
        <v>1467</v>
      </c>
    </row>
    <row r="1149" spans="1:1" x14ac:dyDescent="0.25">
      <c r="A1149" t="s">
        <v>1468</v>
      </c>
    </row>
    <row r="1150" spans="1:1" x14ac:dyDescent="0.25">
      <c r="A1150" t="s">
        <v>1469</v>
      </c>
    </row>
    <row r="1151" spans="1:1" x14ac:dyDescent="0.25">
      <c r="A1151" t="s">
        <v>1470</v>
      </c>
    </row>
    <row r="1152" spans="1:1" x14ac:dyDescent="0.25">
      <c r="A1152" t="s">
        <v>1471</v>
      </c>
    </row>
    <row r="1153" spans="1:1" x14ac:dyDescent="0.25">
      <c r="A1153" t="s">
        <v>1472</v>
      </c>
    </row>
    <row r="1154" spans="1:1" x14ac:dyDescent="0.25">
      <c r="A1154" t="s">
        <v>1473</v>
      </c>
    </row>
    <row r="1155" spans="1:1" x14ac:dyDescent="0.25">
      <c r="A1155" t="s">
        <v>1474</v>
      </c>
    </row>
    <row r="1156" spans="1:1" x14ac:dyDescent="0.25">
      <c r="A1156" t="s">
        <v>1475</v>
      </c>
    </row>
    <row r="1157" spans="1:1" x14ac:dyDescent="0.25">
      <c r="A1157" t="s">
        <v>1476</v>
      </c>
    </row>
    <row r="1158" spans="1:1" x14ac:dyDescent="0.25">
      <c r="A1158" t="s">
        <v>1477</v>
      </c>
    </row>
    <row r="1159" spans="1:1" x14ac:dyDescent="0.25">
      <c r="A1159" t="s">
        <v>1478</v>
      </c>
    </row>
    <row r="1160" spans="1:1" x14ac:dyDescent="0.25">
      <c r="A1160" t="s">
        <v>1479</v>
      </c>
    </row>
    <row r="1161" spans="1:1" x14ac:dyDescent="0.25">
      <c r="A1161" t="s">
        <v>1480</v>
      </c>
    </row>
    <row r="1162" spans="1:1" x14ac:dyDescent="0.25">
      <c r="A1162" t="s">
        <v>1481</v>
      </c>
    </row>
    <row r="1163" spans="1:1" x14ac:dyDescent="0.25">
      <c r="A1163" t="s">
        <v>1482</v>
      </c>
    </row>
    <row r="1164" spans="1:1" x14ac:dyDescent="0.25">
      <c r="A1164" t="s">
        <v>1483</v>
      </c>
    </row>
    <row r="1165" spans="1:1" x14ac:dyDescent="0.25">
      <c r="A1165" t="s">
        <v>1484</v>
      </c>
    </row>
    <row r="1166" spans="1:1" x14ac:dyDescent="0.25">
      <c r="A1166" t="s">
        <v>1485</v>
      </c>
    </row>
    <row r="1167" spans="1:1" x14ac:dyDescent="0.25">
      <c r="A1167" t="s">
        <v>1486</v>
      </c>
    </row>
    <row r="1168" spans="1:1" x14ac:dyDescent="0.25">
      <c r="A1168" t="s">
        <v>1487</v>
      </c>
    </row>
    <row r="1169" spans="1:1" x14ac:dyDescent="0.25">
      <c r="A1169" t="s">
        <v>1488</v>
      </c>
    </row>
    <row r="1170" spans="1:1" x14ac:dyDescent="0.25">
      <c r="A1170" t="s">
        <v>1489</v>
      </c>
    </row>
    <row r="1171" spans="1:1" x14ac:dyDescent="0.25">
      <c r="A1171" t="s">
        <v>1490</v>
      </c>
    </row>
    <row r="1172" spans="1:1" x14ac:dyDescent="0.25">
      <c r="A1172" t="s">
        <v>1491</v>
      </c>
    </row>
    <row r="1173" spans="1:1" x14ac:dyDescent="0.25">
      <c r="A1173" t="s">
        <v>1492</v>
      </c>
    </row>
    <row r="1174" spans="1:1" x14ac:dyDescent="0.25">
      <c r="A1174" t="s">
        <v>1493</v>
      </c>
    </row>
    <row r="1175" spans="1:1" x14ac:dyDescent="0.25">
      <c r="A1175" t="s">
        <v>1494</v>
      </c>
    </row>
    <row r="1176" spans="1:1" x14ac:dyDescent="0.25">
      <c r="A1176" t="s">
        <v>1495</v>
      </c>
    </row>
    <row r="1177" spans="1:1" x14ac:dyDescent="0.25">
      <c r="A1177" t="s">
        <v>1496</v>
      </c>
    </row>
    <row r="1178" spans="1:1" x14ac:dyDescent="0.25">
      <c r="A1178" t="s">
        <v>1497</v>
      </c>
    </row>
    <row r="1179" spans="1:1" x14ac:dyDescent="0.25">
      <c r="A1179" t="s">
        <v>1498</v>
      </c>
    </row>
    <row r="1180" spans="1:1" x14ac:dyDescent="0.25">
      <c r="A1180" t="s">
        <v>1499</v>
      </c>
    </row>
    <row r="1181" spans="1:1" x14ac:dyDescent="0.25">
      <c r="A1181" t="s">
        <v>1500</v>
      </c>
    </row>
    <row r="1182" spans="1:1" x14ac:dyDescent="0.25">
      <c r="A1182" t="s">
        <v>1501</v>
      </c>
    </row>
    <row r="1183" spans="1:1" x14ac:dyDescent="0.25">
      <c r="A1183" t="s">
        <v>1502</v>
      </c>
    </row>
    <row r="1184" spans="1:1" x14ac:dyDescent="0.25">
      <c r="A1184" t="s">
        <v>1503</v>
      </c>
    </row>
    <row r="1185" spans="1:1" x14ac:dyDescent="0.25">
      <c r="A1185" t="s">
        <v>1504</v>
      </c>
    </row>
    <row r="1186" spans="1:1" x14ac:dyDescent="0.25">
      <c r="A1186" t="s">
        <v>1505</v>
      </c>
    </row>
    <row r="1187" spans="1:1" x14ac:dyDescent="0.25">
      <c r="A1187" t="s">
        <v>1506</v>
      </c>
    </row>
    <row r="1188" spans="1:1" x14ac:dyDescent="0.25">
      <c r="A1188" t="s">
        <v>1507</v>
      </c>
    </row>
    <row r="1189" spans="1:1" x14ac:dyDescent="0.25">
      <c r="A1189" t="s">
        <v>1508</v>
      </c>
    </row>
    <row r="1190" spans="1:1" x14ac:dyDescent="0.25">
      <c r="A1190" t="s">
        <v>1509</v>
      </c>
    </row>
    <row r="1191" spans="1:1" x14ac:dyDescent="0.25">
      <c r="A1191" t="s">
        <v>1510</v>
      </c>
    </row>
    <row r="1192" spans="1:1" x14ac:dyDescent="0.25">
      <c r="A1192" t="s">
        <v>1511</v>
      </c>
    </row>
    <row r="1193" spans="1:1" x14ac:dyDescent="0.25">
      <c r="A1193" t="s">
        <v>1512</v>
      </c>
    </row>
    <row r="1194" spans="1:1" x14ac:dyDescent="0.25">
      <c r="A1194" t="s">
        <v>1513</v>
      </c>
    </row>
    <row r="1195" spans="1:1" x14ac:dyDescent="0.25">
      <c r="A1195" t="s">
        <v>1514</v>
      </c>
    </row>
    <row r="1196" spans="1:1" x14ac:dyDescent="0.25">
      <c r="A1196" t="s">
        <v>1515</v>
      </c>
    </row>
    <row r="1197" spans="1:1" x14ac:dyDescent="0.25">
      <c r="A1197" t="s">
        <v>1516</v>
      </c>
    </row>
    <row r="1198" spans="1:1" x14ac:dyDescent="0.25">
      <c r="A1198" t="s">
        <v>1517</v>
      </c>
    </row>
    <row r="1199" spans="1:1" x14ac:dyDescent="0.25">
      <c r="A1199" t="s">
        <v>1518</v>
      </c>
    </row>
    <row r="1200" spans="1:1" x14ac:dyDescent="0.25">
      <c r="A1200" t="s">
        <v>1519</v>
      </c>
    </row>
    <row r="1201" spans="1:1" x14ac:dyDescent="0.25">
      <c r="A1201" t="s">
        <v>1520</v>
      </c>
    </row>
    <row r="1202" spans="1:1" x14ac:dyDescent="0.25">
      <c r="A1202" t="s">
        <v>1521</v>
      </c>
    </row>
    <row r="1203" spans="1:1" x14ac:dyDescent="0.25">
      <c r="A1203" t="s">
        <v>1522</v>
      </c>
    </row>
    <row r="1204" spans="1:1" x14ac:dyDescent="0.25">
      <c r="A1204" t="s">
        <v>1523</v>
      </c>
    </row>
    <row r="1205" spans="1:1" x14ac:dyDescent="0.25">
      <c r="A1205" t="s">
        <v>1524</v>
      </c>
    </row>
    <row r="1206" spans="1:1" x14ac:dyDescent="0.25">
      <c r="A1206" t="s">
        <v>1525</v>
      </c>
    </row>
    <row r="1207" spans="1:1" x14ac:dyDescent="0.25">
      <c r="A1207" t="s">
        <v>1526</v>
      </c>
    </row>
    <row r="1208" spans="1:1" x14ac:dyDescent="0.25">
      <c r="A1208" t="s">
        <v>1527</v>
      </c>
    </row>
    <row r="1209" spans="1:1" x14ac:dyDescent="0.25">
      <c r="A1209" t="s">
        <v>1528</v>
      </c>
    </row>
    <row r="1210" spans="1:1" x14ac:dyDescent="0.25">
      <c r="A1210" t="s">
        <v>1529</v>
      </c>
    </row>
    <row r="1211" spans="1:1" x14ac:dyDescent="0.25">
      <c r="A1211" t="s">
        <v>1530</v>
      </c>
    </row>
    <row r="1212" spans="1:1" x14ac:dyDescent="0.25">
      <c r="A1212" t="s">
        <v>1531</v>
      </c>
    </row>
    <row r="1213" spans="1:1" x14ac:dyDescent="0.25">
      <c r="A1213" t="s">
        <v>1532</v>
      </c>
    </row>
    <row r="1214" spans="1:1" x14ac:dyDescent="0.25">
      <c r="A1214" t="s">
        <v>1533</v>
      </c>
    </row>
    <row r="1215" spans="1:1" x14ac:dyDescent="0.25">
      <c r="A1215" t="s">
        <v>1534</v>
      </c>
    </row>
    <row r="1216" spans="1:1" x14ac:dyDescent="0.25">
      <c r="A1216" t="s">
        <v>1535</v>
      </c>
    </row>
    <row r="1217" spans="1:1" x14ac:dyDescent="0.25">
      <c r="A1217" t="s">
        <v>1536</v>
      </c>
    </row>
    <row r="1218" spans="1:1" x14ac:dyDescent="0.25">
      <c r="A1218" t="s">
        <v>1537</v>
      </c>
    </row>
    <row r="1219" spans="1:1" x14ac:dyDescent="0.25">
      <c r="A1219" t="s">
        <v>1538</v>
      </c>
    </row>
    <row r="1220" spans="1:1" x14ac:dyDescent="0.25">
      <c r="A1220" t="s">
        <v>1539</v>
      </c>
    </row>
    <row r="1221" spans="1:1" x14ac:dyDescent="0.25">
      <c r="A1221" t="s">
        <v>1540</v>
      </c>
    </row>
    <row r="1222" spans="1:1" x14ac:dyDescent="0.25">
      <c r="A1222" t="s">
        <v>1541</v>
      </c>
    </row>
    <row r="1223" spans="1:1" x14ac:dyDescent="0.25">
      <c r="A1223" t="s">
        <v>1542</v>
      </c>
    </row>
    <row r="1224" spans="1:1" x14ac:dyDescent="0.25">
      <c r="A1224" t="s">
        <v>1543</v>
      </c>
    </row>
    <row r="1225" spans="1:1" x14ac:dyDescent="0.25">
      <c r="A1225" t="s">
        <v>1544</v>
      </c>
    </row>
    <row r="1226" spans="1:1" x14ac:dyDescent="0.25">
      <c r="A1226" t="s">
        <v>1545</v>
      </c>
    </row>
    <row r="1227" spans="1:1" x14ac:dyDescent="0.25">
      <c r="A1227" t="s">
        <v>1546</v>
      </c>
    </row>
    <row r="1228" spans="1:1" x14ac:dyDescent="0.25">
      <c r="A1228" t="s">
        <v>1547</v>
      </c>
    </row>
    <row r="1229" spans="1:1" x14ac:dyDescent="0.25">
      <c r="A1229" t="s">
        <v>1548</v>
      </c>
    </row>
    <row r="1230" spans="1:1" x14ac:dyDescent="0.25">
      <c r="A1230" t="s">
        <v>1549</v>
      </c>
    </row>
    <row r="1231" spans="1:1" x14ac:dyDescent="0.25">
      <c r="A1231" t="s">
        <v>1550</v>
      </c>
    </row>
    <row r="1232" spans="1:1" x14ac:dyDescent="0.25">
      <c r="A1232" t="s">
        <v>1551</v>
      </c>
    </row>
    <row r="1233" spans="1:1" x14ac:dyDescent="0.25">
      <c r="A1233" t="s">
        <v>1552</v>
      </c>
    </row>
    <row r="1234" spans="1:1" x14ac:dyDescent="0.25">
      <c r="A1234" t="s">
        <v>1553</v>
      </c>
    </row>
    <row r="1235" spans="1:1" x14ac:dyDescent="0.25">
      <c r="A1235" t="s">
        <v>1554</v>
      </c>
    </row>
    <row r="1236" spans="1:1" x14ac:dyDescent="0.25">
      <c r="A1236" t="s">
        <v>1555</v>
      </c>
    </row>
    <row r="1237" spans="1:1" x14ac:dyDescent="0.25">
      <c r="A1237" t="s">
        <v>1556</v>
      </c>
    </row>
    <row r="1238" spans="1:1" x14ac:dyDescent="0.25">
      <c r="A1238" t="s">
        <v>1557</v>
      </c>
    </row>
    <row r="1239" spans="1:1" x14ac:dyDescent="0.25">
      <c r="A1239" t="s">
        <v>1558</v>
      </c>
    </row>
    <row r="1240" spans="1:1" x14ac:dyDescent="0.25">
      <c r="A1240" t="s">
        <v>1559</v>
      </c>
    </row>
    <row r="1241" spans="1:1" x14ac:dyDescent="0.25">
      <c r="A1241" t="s">
        <v>1560</v>
      </c>
    </row>
    <row r="1242" spans="1:1" x14ac:dyDescent="0.25">
      <c r="A1242" t="s">
        <v>1561</v>
      </c>
    </row>
    <row r="1243" spans="1:1" x14ac:dyDescent="0.25">
      <c r="A1243" t="s">
        <v>1562</v>
      </c>
    </row>
    <row r="1244" spans="1:1" x14ac:dyDescent="0.25">
      <c r="A1244" t="s">
        <v>1563</v>
      </c>
    </row>
    <row r="1245" spans="1:1" x14ac:dyDescent="0.25">
      <c r="A1245" t="s">
        <v>1564</v>
      </c>
    </row>
    <row r="1246" spans="1:1" x14ac:dyDescent="0.25">
      <c r="A1246" t="s">
        <v>1565</v>
      </c>
    </row>
    <row r="1247" spans="1:1" x14ac:dyDescent="0.25">
      <c r="A1247" t="s">
        <v>1566</v>
      </c>
    </row>
    <row r="1248" spans="1:1" x14ac:dyDescent="0.25">
      <c r="A1248" t="s">
        <v>1567</v>
      </c>
    </row>
    <row r="1249" spans="1:1" x14ac:dyDescent="0.25">
      <c r="A1249" t="s">
        <v>1568</v>
      </c>
    </row>
    <row r="1250" spans="1:1" x14ac:dyDescent="0.25">
      <c r="A1250" t="s">
        <v>1569</v>
      </c>
    </row>
    <row r="1251" spans="1:1" x14ac:dyDescent="0.25">
      <c r="A1251" t="s">
        <v>1570</v>
      </c>
    </row>
    <row r="1252" spans="1:1" x14ac:dyDescent="0.25">
      <c r="A1252" t="s">
        <v>1571</v>
      </c>
    </row>
    <row r="1253" spans="1:1" x14ac:dyDescent="0.25">
      <c r="A1253" t="s">
        <v>1572</v>
      </c>
    </row>
    <row r="1254" spans="1:1" x14ac:dyDescent="0.25">
      <c r="A1254" t="s">
        <v>1573</v>
      </c>
    </row>
    <row r="1255" spans="1:1" x14ac:dyDescent="0.25">
      <c r="A1255" t="s">
        <v>1574</v>
      </c>
    </row>
    <row r="1256" spans="1:1" x14ac:dyDescent="0.25">
      <c r="A1256" t="s">
        <v>1575</v>
      </c>
    </row>
    <row r="1257" spans="1:1" x14ac:dyDescent="0.25">
      <c r="A1257" t="s">
        <v>1576</v>
      </c>
    </row>
    <row r="1258" spans="1:1" x14ac:dyDescent="0.25">
      <c r="A1258" t="s">
        <v>1577</v>
      </c>
    </row>
    <row r="1259" spans="1:1" x14ac:dyDescent="0.25">
      <c r="A1259" t="s">
        <v>1578</v>
      </c>
    </row>
    <row r="1260" spans="1:1" x14ac:dyDescent="0.25">
      <c r="A1260" t="s">
        <v>1579</v>
      </c>
    </row>
    <row r="1261" spans="1:1" x14ac:dyDescent="0.25">
      <c r="A1261" t="s">
        <v>1580</v>
      </c>
    </row>
    <row r="1262" spans="1:1" x14ac:dyDescent="0.25">
      <c r="A1262" t="s">
        <v>1581</v>
      </c>
    </row>
    <row r="1263" spans="1:1" x14ac:dyDescent="0.25">
      <c r="A1263" t="s">
        <v>1582</v>
      </c>
    </row>
    <row r="1264" spans="1:1" x14ac:dyDescent="0.25">
      <c r="A1264" t="s">
        <v>1583</v>
      </c>
    </row>
    <row r="1265" spans="1:1" x14ac:dyDescent="0.25">
      <c r="A1265" t="s">
        <v>1584</v>
      </c>
    </row>
    <row r="1266" spans="1:1" x14ac:dyDescent="0.25">
      <c r="A1266" t="s">
        <v>1585</v>
      </c>
    </row>
    <row r="1267" spans="1:1" x14ac:dyDescent="0.25">
      <c r="A1267" t="s">
        <v>1586</v>
      </c>
    </row>
    <row r="1268" spans="1:1" x14ac:dyDescent="0.25">
      <c r="A1268" t="s">
        <v>1587</v>
      </c>
    </row>
    <row r="1269" spans="1:1" x14ac:dyDescent="0.25">
      <c r="A1269" t="s">
        <v>1588</v>
      </c>
    </row>
    <row r="1270" spans="1:1" x14ac:dyDescent="0.25">
      <c r="A1270" t="s">
        <v>1589</v>
      </c>
    </row>
    <row r="1271" spans="1:1" x14ac:dyDescent="0.25">
      <c r="A1271" t="s">
        <v>1590</v>
      </c>
    </row>
    <row r="1272" spans="1:1" x14ac:dyDescent="0.25">
      <c r="A1272" t="s">
        <v>1591</v>
      </c>
    </row>
    <row r="1273" spans="1:1" x14ac:dyDescent="0.25">
      <c r="A1273" t="s">
        <v>1592</v>
      </c>
    </row>
    <row r="1274" spans="1:1" x14ac:dyDescent="0.25">
      <c r="A1274" t="s">
        <v>1593</v>
      </c>
    </row>
    <row r="1275" spans="1:1" x14ac:dyDescent="0.25">
      <c r="A1275" t="s">
        <v>1594</v>
      </c>
    </row>
    <row r="1276" spans="1:1" x14ac:dyDescent="0.25">
      <c r="A1276" t="s">
        <v>1595</v>
      </c>
    </row>
    <row r="1277" spans="1:1" x14ac:dyDescent="0.25">
      <c r="A1277" t="s">
        <v>1596</v>
      </c>
    </row>
    <row r="1278" spans="1:1" x14ac:dyDescent="0.25">
      <c r="A1278" t="s">
        <v>1597</v>
      </c>
    </row>
    <row r="1279" spans="1:1" x14ac:dyDescent="0.25">
      <c r="A1279" t="s">
        <v>1598</v>
      </c>
    </row>
    <row r="1280" spans="1:1" x14ac:dyDescent="0.25">
      <c r="A1280" t="s">
        <v>1599</v>
      </c>
    </row>
    <row r="1281" spans="1:1" x14ac:dyDescent="0.25">
      <c r="A1281" t="s">
        <v>1600</v>
      </c>
    </row>
    <row r="1282" spans="1:1" x14ac:dyDescent="0.25">
      <c r="A1282" t="s">
        <v>1601</v>
      </c>
    </row>
    <row r="1283" spans="1:1" x14ac:dyDescent="0.25">
      <c r="A1283" t="s">
        <v>1602</v>
      </c>
    </row>
    <row r="1284" spans="1:1" x14ac:dyDescent="0.25">
      <c r="A1284" t="s">
        <v>1603</v>
      </c>
    </row>
    <row r="1285" spans="1:1" x14ac:dyDescent="0.25">
      <c r="A1285" t="s">
        <v>1604</v>
      </c>
    </row>
    <row r="1286" spans="1:1" x14ac:dyDescent="0.25">
      <c r="A1286" t="s">
        <v>1605</v>
      </c>
    </row>
    <row r="1287" spans="1:1" x14ac:dyDescent="0.25">
      <c r="A1287" t="s">
        <v>1606</v>
      </c>
    </row>
    <row r="1288" spans="1:1" x14ac:dyDescent="0.25">
      <c r="A1288" t="s">
        <v>1607</v>
      </c>
    </row>
    <row r="1289" spans="1:1" x14ac:dyDescent="0.25">
      <c r="A1289" t="s">
        <v>1608</v>
      </c>
    </row>
    <row r="1290" spans="1:1" x14ac:dyDescent="0.25">
      <c r="A1290" t="s">
        <v>1609</v>
      </c>
    </row>
    <row r="1291" spans="1:1" x14ac:dyDescent="0.25">
      <c r="A1291" t="s">
        <v>1610</v>
      </c>
    </row>
    <row r="1292" spans="1:1" x14ac:dyDescent="0.25">
      <c r="A1292" t="s">
        <v>1611</v>
      </c>
    </row>
    <row r="1293" spans="1:1" x14ac:dyDescent="0.25">
      <c r="A1293" t="s">
        <v>1612</v>
      </c>
    </row>
    <row r="1294" spans="1:1" x14ac:dyDescent="0.25">
      <c r="A1294" t="s">
        <v>1613</v>
      </c>
    </row>
    <row r="1295" spans="1:1" x14ac:dyDescent="0.25">
      <c r="A1295" t="s">
        <v>1614</v>
      </c>
    </row>
    <row r="1296" spans="1:1" x14ac:dyDescent="0.25">
      <c r="A1296" t="s">
        <v>1615</v>
      </c>
    </row>
    <row r="1297" spans="1:1" x14ac:dyDescent="0.25">
      <c r="A1297" t="s">
        <v>1616</v>
      </c>
    </row>
    <row r="1298" spans="1:1" x14ac:dyDescent="0.25">
      <c r="A1298" t="s">
        <v>1617</v>
      </c>
    </row>
    <row r="1299" spans="1:1" x14ac:dyDescent="0.25">
      <c r="A1299" t="s">
        <v>1618</v>
      </c>
    </row>
    <row r="1300" spans="1:1" x14ac:dyDescent="0.25">
      <c r="A1300" t="s">
        <v>1619</v>
      </c>
    </row>
    <row r="1301" spans="1:1" x14ac:dyDescent="0.25">
      <c r="A1301" t="s">
        <v>1620</v>
      </c>
    </row>
    <row r="1302" spans="1:1" x14ac:dyDescent="0.25">
      <c r="A1302" t="s">
        <v>1621</v>
      </c>
    </row>
    <row r="1303" spans="1:1" x14ac:dyDescent="0.25">
      <c r="A1303" t="s">
        <v>1622</v>
      </c>
    </row>
    <row r="1304" spans="1:1" x14ac:dyDescent="0.25">
      <c r="A1304" t="s">
        <v>1623</v>
      </c>
    </row>
    <row r="1305" spans="1:1" x14ac:dyDescent="0.25">
      <c r="A1305" t="s">
        <v>1624</v>
      </c>
    </row>
    <row r="1306" spans="1:1" x14ac:dyDescent="0.25">
      <c r="A1306" t="s">
        <v>1625</v>
      </c>
    </row>
    <row r="1307" spans="1:1" x14ac:dyDescent="0.25">
      <c r="A1307" t="s">
        <v>1626</v>
      </c>
    </row>
    <row r="1308" spans="1:1" x14ac:dyDescent="0.25">
      <c r="A1308" t="s">
        <v>1627</v>
      </c>
    </row>
    <row r="1309" spans="1:1" x14ac:dyDescent="0.25">
      <c r="A1309" t="s">
        <v>1628</v>
      </c>
    </row>
    <row r="1310" spans="1:1" x14ac:dyDescent="0.25">
      <c r="A1310" t="s">
        <v>1629</v>
      </c>
    </row>
    <row r="1311" spans="1:1" x14ac:dyDescent="0.25">
      <c r="A1311" t="s">
        <v>1630</v>
      </c>
    </row>
    <row r="1312" spans="1:1" x14ac:dyDescent="0.25">
      <c r="A1312" t="s">
        <v>1631</v>
      </c>
    </row>
    <row r="1313" spans="1:1" x14ac:dyDescent="0.25">
      <c r="A1313" t="s">
        <v>1632</v>
      </c>
    </row>
    <row r="1314" spans="1:1" x14ac:dyDescent="0.25">
      <c r="A1314" t="s">
        <v>1633</v>
      </c>
    </row>
    <row r="1315" spans="1:1" x14ac:dyDescent="0.25">
      <c r="A1315" t="s">
        <v>1634</v>
      </c>
    </row>
    <row r="1316" spans="1:1" x14ac:dyDescent="0.25">
      <c r="A1316" t="s">
        <v>1635</v>
      </c>
    </row>
    <row r="1317" spans="1:1" x14ac:dyDescent="0.25">
      <c r="A1317" t="s">
        <v>1636</v>
      </c>
    </row>
    <row r="1318" spans="1:1" x14ac:dyDescent="0.25">
      <c r="A1318" t="s">
        <v>1637</v>
      </c>
    </row>
    <row r="1319" spans="1:1" x14ac:dyDescent="0.25">
      <c r="A1319" t="s">
        <v>1638</v>
      </c>
    </row>
    <row r="1320" spans="1:1" x14ac:dyDescent="0.25">
      <c r="A1320" t="s">
        <v>1639</v>
      </c>
    </row>
    <row r="1321" spans="1:1" x14ac:dyDescent="0.25">
      <c r="A1321" t="s">
        <v>1640</v>
      </c>
    </row>
    <row r="1322" spans="1:1" x14ac:dyDescent="0.25">
      <c r="A1322" t="s">
        <v>1641</v>
      </c>
    </row>
    <row r="1323" spans="1:1" x14ac:dyDescent="0.25">
      <c r="A1323" t="s">
        <v>1642</v>
      </c>
    </row>
    <row r="1324" spans="1:1" x14ac:dyDescent="0.25">
      <c r="A1324" t="s">
        <v>1643</v>
      </c>
    </row>
    <row r="1325" spans="1:1" x14ac:dyDescent="0.25">
      <c r="A1325" t="s">
        <v>1644</v>
      </c>
    </row>
    <row r="1326" spans="1:1" x14ac:dyDescent="0.25">
      <c r="A1326" t="s">
        <v>1645</v>
      </c>
    </row>
    <row r="1327" spans="1:1" x14ac:dyDescent="0.25">
      <c r="A1327" t="s">
        <v>1646</v>
      </c>
    </row>
    <row r="1328" spans="1:1" x14ac:dyDescent="0.25">
      <c r="A1328" t="s">
        <v>1647</v>
      </c>
    </row>
    <row r="1329" spans="1:1" x14ac:dyDescent="0.25">
      <c r="A1329" t="s">
        <v>1648</v>
      </c>
    </row>
    <row r="1330" spans="1:1" x14ac:dyDescent="0.25">
      <c r="A1330" t="s">
        <v>1649</v>
      </c>
    </row>
    <row r="1331" spans="1:1" x14ac:dyDescent="0.25">
      <c r="A1331" t="s">
        <v>1650</v>
      </c>
    </row>
    <row r="1332" spans="1:1" x14ac:dyDescent="0.25">
      <c r="A1332" t="s">
        <v>1651</v>
      </c>
    </row>
    <row r="1333" spans="1:1" x14ac:dyDescent="0.25">
      <c r="A1333" t="s">
        <v>1652</v>
      </c>
    </row>
    <row r="1334" spans="1:1" x14ac:dyDescent="0.25">
      <c r="A1334" t="s">
        <v>1653</v>
      </c>
    </row>
    <row r="1335" spans="1:1" x14ac:dyDescent="0.25">
      <c r="A1335" t="s">
        <v>1654</v>
      </c>
    </row>
    <row r="1336" spans="1:1" x14ac:dyDescent="0.25">
      <c r="A1336" t="s">
        <v>1655</v>
      </c>
    </row>
    <row r="1337" spans="1:1" x14ac:dyDescent="0.25">
      <c r="A1337" t="s">
        <v>1656</v>
      </c>
    </row>
    <row r="1338" spans="1:1" x14ac:dyDescent="0.25">
      <c r="A1338" t="s">
        <v>1657</v>
      </c>
    </row>
    <row r="1339" spans="1:1" x14ac:dyDescent="0.25">
      <c r="A1339" t="s">
        <v>1658</v>
      </c>
    </row>
    <row r="1340" spans="1:1" x14ac:dyDescent="0.25">
      <c r="A1340" t="s">
        <v>1659</v>
      </c>
    </row>
    <row r="1341" spans="1:1" x14ac:dyDescent="0.25">
      <c r="A1341" t="s">
        <v>1660</v>
      </c>
    </row>
    <row r="1342" spans="1:1" x14ac:dyDescent="0.25">
      <c r="A1342" t="s">
        <v>1661</v>
      </c>
    </row>
    <row r="1343" spans="1:1" x14ac:dyDescent="0.25">
      <c r="A1343" t="s">
        <v>1662</v>
      </c>
    </row>
    <row r="1344" spans="1:1" x14ac:dyDescent="0.25">
      <c r="A1344" t="s">
        <v>1663</v>
      </c>
    </row>
    <row r="1345" spans="1:1" x14ac:dyDescent="0.25">
      <c r="A1345" t="s">
        <v>1664</v>
      </c>
    </row>
    <row r="1346" spans="1:1" x14ac:dyDescent="0.25">
      <c r="A1346" t="s">
        <v>1665</v>
      </c>
    </row>
    <row r="1347" spans="1:1" x14ac:dyDescent="0.25">
      <c r="A1347" t="s">
        <v>1666</v>
      </c>
    </row>
    <row r="1348" spans="1:1" x14ac:dyDescent="0.25">
      <c r="A1348" t="s">
        <v>1667</v>
      </c>
    </row>
    <row r="1349" spans="1:1" x14ac:dyDescent="0.25">
      <c r="A1349" t="s">
        <v>1668</v>
      </c>
    </row>
    <row r="1350" spans="1:1" x14ac:dyDescent="0.25">
      <c r="A1350" t="s">
        <v>1669</v>
      </c>
    </row>
    <row r="1351" spans="1:1" x14ac:dyDescent="0.25">
      <c r="A1351" t="s">
        <v>1670</v>
      </c>
    </row>
    <row r="1352" spans="1:1" x14ac:dyDescent="0.25">
      <c r="A1352" t="s">
        <v>1671</v>
      </c>
    </row>
    <row r="1353" spans="1:1" x14ac:dyDescent="0.25">
      <c r="A1353" t="s">
        <v>1672</v>
      </c>
    </row>
    <row r="1354" spans="1:1" x14ac:dyDescent="0.25">
      <c r="A1354" t="s">
        <v>1673</v>
      </c>
    </row>
    <row r="1355" spans="1:1" x14ac:dyDescent="0.25">
      <c r="A1355" t="s">
        <v>1674</v>
      </c>
    </row>
    <row r="1356" spans="1:1" x14ac:dyDescent="0.25">
      <c r="A1356" t="s">
        <v>1675</v>
      </c>
    </row>
    <row r="1357" spans="1:1" x14ac:dyDescent="0.25">
      <c r="A1357" t="s">
        <v>1676</v>
      </c>
    </row>
    <row r="1358" spans="1:1" x14ac:dyDescent="0.25">
      <c r="A1358" t="s">
        <v>1677</v>
      </c>
    </row>
    <row r="1359" spans="1:1" x14ac:dyDescent="0.25">
      <c r="A1359" t="s">
        <v>1678</v>
      </c>
    </row>
    <row r="1360" spans="1:1" x14ac:dyDescent="0.25">
      <c r="A1360" t="s">
        <v>1679</v>
      </c>
    </row>
    <row r="1361" spans="1:1" x14ac:dyDescent="0.25">
      <c r="A1361" t="s">
        <v>1680</v>
      </c>
    </row>
    <row r="1362" spans="1:1" x14ac:dyDescent="0.25">
      <c r="A1362" t="s">
        <v>1681</v>
      </c>
    </row>
    <row r="1363" spans="1:1" x14ac:dyDescent="0.25">
      <c r="A1363" t="s">
        <v>1682</v>
      </c>
    </row>
    <row r="1364" spans="1:1" x14ac:dyDescent="0.25">
      <c r="A1364" t="s">
        <v>1683</v>
      </c>
    </row>
    <row r="1365" spans="1:1" x14ac:dyDescent="0.25">
      <c r="A1365" t="s">
        <v>1684</v>
      </c>
    </row>
    <row r="1366" spans="1:1" x14ac:dyDescent="0.25">
      <c r="A1366" t="s">
        <v>1685</v>
      </c>
    </row>
    <row r="1367" spans="1:1" x14ac:dyDescent="0.25">
      <c r="A1367" t="s">
        <v>1686</v>
      </c>
    </row>
    <row r="1368" spans="1:1" x14ac:dyDescent="0.25">
      <c r="A1368" t="s">
        <v>1687</v>
      </c>
    </row>
    <row r="1369" spans="1:1" x14ac:dyDescent="0.25">
      <c r="A1369" t="s">
        <v>1688</v>
      </c>
    </row>
    <row r="1370" spans="1:1" x14ac:dyDescent="0.25">
      <c r="A1370" t="s">
        <v>1689</v>
      </c>
    </row>
    <row r="1371" spans="1:1" x14ac:dyDescent="0.25">
      <c r="A1371" t="s">
        <v>1690</v>
      </c>
    </row>
    <row r="1372" spans="1:1" x14ac:dyDescent="0.25">
      <c r="A1372" t="s">
        <v>1691</v>
      </c>
    </row>
    <row r="1373" spans="1:1" x14ac:dyDescent="0.25">
      <c r="A1373" t="s">
        <v>1692</v>
      </c>
    </row>
    <row r="1374" spans="1:1" x14ac:dyDescent="0.25">
      <c r="A1374" t="s">
        <v>1693</v>
      </c>
    </row>
    <row r="1375" spans="1:1" x14ac:dyDescent="0.25">
      <c r="A1375" t="s">
        <v>1694</v>
      </c>
    </row>
    <row r="1376" spans="1:1" x14ac:dyDescent="0.25">
      <c r="A1376" t="s">
        <v>1695</v>
      </c>
    </row>
    <row r="1377" spans="1:1" x14ac:dyDescent="0.25">
      <c r="A1377" t="s">
        <v>1696</v>
      </c>
    </row>
    <row r="1378" spans="1:1" x14ac:dyDescent="0.25">
      <c r="A1378" t="s">
        <v>1697</v>
      </c>
    </row>
    <row r="1379" spans="1:1" x14ac:dyDescent="0.25">
      <c r="A1379" t="s">
        <v>1698</v>
      </c>
    </row>
    <row r="1380" spans="1:1" x14ac:dyDescent="0.25">
      <c r="A1380" t="s">
        <v>1699</v>
      </c>
    </row>
    <row r="1381" spans="1:1" x14ac:dyDescent="0.25">
      <c r="A1381" t="s">
        <v>1700</v>
      </c>
    </row>
    <row r="1382" spans="1:1" x14ac:dyDescent="0.25">
      <c r="A1382" t="s">
        <v>1701</v>
      </c>
    </row>
    <row r="1383" spans="1:1" x14ac:dyDescent="0.25">
      <c r="A1383" t="s">
        <v>1702</v>
      </c>
    </row>
    <row r="1384" spans="1:1" x14ac:dyDescent="0.25">
      <c r="A1384" t="s">
        <v>1703</v>
      </c>
    </row>
    <row r="1385" spans="1:1" x14ac:dyDescent="0.25">
      <c r="A1385" t="s">
        <v>1704</v>
      </c>
    </row>
    <row r="1386" spans="1:1" x14ac:dyDescent="0.25">
      <c r="A1386" t="s">
        <v>1705</v>
      </c>
    </row>
    <row r="1387" spans="1:1" x14ac:dyDescent="0.25">
      <c r="A1387" t="s">
        <v>1706</v>
      </c>
    </row>
    <row r="1388" spans="1:1" x14ac:dyDescent="0.25">
      <c r="A1388" t="s">
        <v>1707</v>
      </c>
    </row>
    <row r="1389" spans="1:1" x14ac:dyDescent="0.25">
      <c r="A1389" t="s">
        <v>1708</v>
      </c>
    </row>
    <row r="1390" spans="1:1" x14ac:dyDescent="0.25">
      <c r="A1390" t="s">
        <v>1709</v>
      </c>
    </row>
    <row r="1391" spans="1:1" x14ac:dyDescent="0.25">
      <c r="A1391" t="s">
        <v>1710</v>
      </c>
    </row>
    <row r="1392" spans="1:1" x14ac:dyDescent="0.25">
      <c r="A1392" t="s">
        <v>1711</v>
      </c>
    </row>
    <row r="1393" spans="1:1" x14ac:dyDescent="0.25">
      <c r="A1393" t="s">
        <v>1712</v>
      </c>
    </row>
    <row r="1394" spans="1:1" x14ac:dyDescent="0.25">
      <c r="A1394" t="s">
        <v>1713</v>
      </c>
    </row>
    <row r="1395" spans="1:1" x14ac:dyDescent="0.25">
      <c r="A1395" t="s">
        <v>1714</v>
      </c>
    </row>
    <row r="1396" spans="1:1" x14ac:dyDescent="0.25">
      <c r="A1396" t="s">
        <v>1715</v>
      </c>
    </row>
    <row r="1397" spans="1:1" x14ac:dyDescent="0.25">
      <c r="A1397" t="s">
        <v>1716</v>
      </c>
    </row>
    <row r="1398" spans="1:1" x14ac:dyDescent="0.25">
      <c r="A1398" t="s">
        <v>1717</v>
      </c>
    </row>
    <row r="1399" spans="1:1" x14ac:dyDescent="0.25">
      <c r="A1399" t="s">
        <v>1718</v>
      </c>
    </row>
    <row r="1400" spans="1:1" x14ac:dyDescent="0.25">
      <c r="A1400" t="s">
        <v>1719</v>
      </c>
    </row>
    <row r="1401" spans="1:1" x14ac:dyDescent="0.25">
      <c r="A1401" t="s">
        <v>1720</v>
      </c>
    </row>
    <row r="1402" spans="1:1" x14ac:dyDescent="0.25">
      <c r="A1402" t="s">
        <v>1721</v>
      </c>
    </row>
    <row r="1403" spans="1:1" x14ac:dyDescent="0.25">
      <c r="A1403" t="s">
        <v>1722</v>
      </c>
    </row>
    <row r="1404" spans="1:1" x14ac:dyDescent="0.25">
      <c r="A1404" t="s">
        <v>1723</v>
      </c>
    </row>
    <row r="1405" spans="1:1" x14ac:dyDescent="0.25">
      <c r="A1405" t="s">
        <v>1724</v>
      </c>
    </row>
    <row r="1406" spans="1:1" x14ac:dyDescent="0.25">
      <c r="A1406" t="s">
        <v>1725</v>
      </c>
    </row>
    <row r="1407" spans="1:1" x14ac:dyDescent="0.25">
      <c r="A1407" t="s">
        <v>1726</v>
      </c>
    </row>
    <row r="1408" spans="1:1" x14ac:dyDescent="0.25">
      <c r="A1408" t="s">
        <v>1727</v>
      </c>
    </row>
    <row r="1409" spans="1:1" x14ac:dyDescent="0.25">
      <c r="A1409" t="s">
        <v>1728</v>
      </c>
    </row>
    <row r="1410" spans="1:1" x14ac:dyDescent="0.25">
      <c r="A1410" t="s">
        <v>1729</v>
      </c>
    </row>
    <row r="1411" spans="1:1" x14ac:dyDescent="0.25">
      <c r="A1411" t="s">
        <v>1730</v>
      </c>
    </row>
    <row r="1412" spans="1:1" x14ac:dyDescent="0.25">
      <c r="A1412" t="s">
        <v>1731</v>
      </c>
    </row>
    <row r="1413" spans="1:1" x14ac:dyDescent="0.25">
      <c r="A1413" t="s">
        <v>1732</v>
      </c>
    </row>
    <row r="1414" spans="1:1" x14ac:dyDescent="0.25">
      <c r="A1414" t="s">
        <v>1733</v>
      </c>
    </row>
    <row r="1415" spans="1:1" x14ac:dyDescent="0.25">
      <c r="A1415" t="s">
        <v>1734</v>
      </c>
    </row>
    <row r="1416" spans="1:1" x14ac:dyDescent="0.25">
      <c r="A1416" t="s">
        <v>1735</v>
      </c>
    </row>
    <row r="1417" spans="1:1" x14ac:dyDescent="0.25">
      <c r="A1417" t="s">
        <v>1736</v>
      </c>
    </row>
    <row r="1418" spans="1:1" x14ac:dyDescent="0.25">
      <c r="A1418" t="s">
        <v>1737</v>
      </c>
    </row>
    <row r="1419" spans="1:1" x14ac:dyDescent="0.25">
      <c r="A1419" t="s">
        <v>1738</v>
      </c>
    </row>
    <row r="1420" spans="1:1" x14ac:dyDescent="0.25">
      <c r="A1420" t="s">
        <v>1739</v>
      </c>
    </row>
    <row r="1421" spans="1:1" x14ac:dyDescent="0.25">
      <c r="A1421" t="s">
        <v>1740</v>
      </c>
    </row>
    <row r="1422" spans="1:1" x14ac:dyDescent="0.25">
      <c r="A1422" t="s">
        <v>1741</v>
      </c>
    </row>
    <row r="1423" spans="1:1" x14ac:dyDescent="0.25">
      <c r="A1423" t="s">
        <v>1742</v>
      </c>
    </row>
    <row r="1424" spans="1:1" x14ac:dyDescent="0.25">
      <c r="A1424" t="s">
        <v>1743</v>
      </c>
    </row>
    <row r="1425" spans="1:1" x14ac:dyDescent="0.25">
      <c r="A1425" t="s">
        <v>1744</v>
      </c>
    </row>
    <row r="1426" spans="1:1" x14ac:dyDescent="0.25">
      <c r="A1426" t="s">
        <v>1745</v>
      </c>
    </row>
    <row r="1427" spans="1:1" x14ac:dyDescent="0.25">
      <c r="A1427" t="s">
        <v>1746</v>
      </c>
    </row>
    <row r="1428" spans="1:1" x14ac:dyDescent="0.25">
      <c r="A1428" t="s">
        <v>1747</v>
      </c>
    </row>
    <row r="1429" spans="1:1" x14ac:dyDescent="0.25">
      <c r="A1429" t="s">
        <v>1748</v>
      </c>
    </row>
    <row r="1430" spans="1:1" x14ac:dyDescent="0.25">
      <c r="A1430" t="s">
        <v>1749</v>
      </c>
    </row>
    <row r="1431" spans="1:1" x14ac:dyDescent="0.25">
      <c r="A1431" t="s">
        <v>1750</v>
      </c>
    </row>
    <row r="1432" spans="1:1" x14ac:dyDescent="0.25">
      <c r="A1432" t="s">
        <v>1751</v>
      </c>
    </row>
    <row r="1433" spans="1:1" x14ac:dyDescent="0.25">
      <c r="A1433" t="s">
        <v>1752</v>
      </c>
    </row>
    <row r="1434" spans="1:1" x14ac:dyDescent="0.25">
      <c r="A1434" t="s">
        <v>1753</v>
      </c>
    </row>
    <row r="1435" spans="1:1" x14ac:dyDescent="0.25">
      <c r="A1435" t="s">
        <v>1754</v>
      </c>
    </row>
    <row r="1436" spans="1:1" x14ac:dyDescent="0.25">
      <c r="A1436" t="s">
        <v>1755</v>
      </c>
    </row>
    <row r="1437" spans="1:1" x14ac:dyDescent="0.25">
      <c r="A1437" t="s">
        <v>1756</v>
      </c>
    </row>
    <row r="1438" spans="1:1" x14ac:dyDescent="0.25">
      <c r="A1438" t="s">
        <v>1757</v>
      </c>
    </row>
    <row r="1439" spans="1:1" x14ac:dyDescent="0.25">
      <c r="A1439" t="s">
        <v>1758</v>
      </c>
    </row>
    <row r="1440" spans="1:1" x14ac:dyDescent="0.25">
      <c r="A1440" t="s">
        <v>1759</v>
      </c>
    </row>
    <row r="1441" spans="1:1" x14ac:dyDescent="0.25">
      <c r="A1441" t="s">
        <v>1760</v>
      </c>
    </row>
    <row r="1442" spans="1:1" x14ac:dyDescent="0.25">
      <c r="A1442" t="s">
        <v>1761</v>
      </c>
    </row>
    <row r="1443" spans="1:1" x14ac:dyDescent="0.25">
      <c r="A1443" t="s">
        <v>1762</v>
      </c>
    </row>
    <row r="1444" spans="1:1" x14ac:dyDescent="0.25">
      <c r="A1444" t="s">
        <v>1763</v>
      </c>
    </row>
    <row r="1445" spans="1:1" x14ac:dyDescent="0.25">
      <c r="A1445" t="s">
        <v>1764</v>
      </c>
    </row>
    <row r="1446" spans="1:1" x14ac:dyDescent="0.25">
      <c r="A1446" t="s">
        <v>1765</v>
      </c>
    </row>
    <row r="1447" spans="1:1" x14ac:dyDescent="0.25">
      <c r="A1447" t="s">
        <v>1766</v>
      </c>
    </row>
    <row r="1448" spans="1:1" x14ac:dyDescent="0.25">
      <c r="A1448" t="s">
        <v>1767</v>
      </c>
    </row>
    <row r="1449" spans="1:1" x14ac:dyDescent="0.25">
      <c r="A1449" t="s">
        <v>1768</v>
      </c>
    </row>
    <row r="1450" spans="1:1" x14ac:dyDescent="0.25">
      <c r="A1450" t="s">
        <v>1769</v>
      </c>
    </row>
    <row r="1451" spans="1:1" x14ac:dyDescent="0.25">
      <c r="A1451" t="s">
        <v>1770</v>
      </c>
    </row>
    <row r="1452" spans="1:1" x14ac:dyDescent="0.25">
      <c r="A1452" t="s">
        <v>1771</v>
      </c>
    </row>
    <row r="1453" spans="1:1" x14ac:dyDescent="0.25">
      <c r="A1453" t="s">
        <v>1772</v>
      </c>
    </row>
    <row r="1454" spans="1:1" x14ac:dyDescent="0.25">
      <c r="A1454" t="s">
        <v>1773</v>
      </c>
    </row>
    <row r="1455" spans="1:1" x14ac:dyDescent="0.25">
      <c r="A1455" t="s">
        <v>1774</v>
      </c>
    </row>
    <row r="1456" spans="1:1" x14ac:dyDescent="0.25">
      <c r="A1456" t="s">
        <v>1775</v>
      </c>
    </row>
    <row r="1457" spans="1:1" x14ac:dyDescent="0.25">
      <c r="A1457" t="s">
        <v>1776</v>
      </c>
    </row>
    <row r="1458" spans="1:1" x14ac:dyDescent="0.25">
      <c r="A1458" t="s">
        <v>1777</v>
      </c>
    </row>
    <row r="1459" spans="1:1" x14ac:dyDescent="0.25">
      <c r="A1459" t="s">
        <v>1778</v>
      </c>
    </row>
    <row r="1460" spans="1:1" x14ac:dyDescent="0.25">
      <c r="A1460" t="s">
        <v>1779</v>
      </c>
    </row>
    <row r="1461" spans="1:1" x14ac:dyDescent="0.25">
      <c r="A1461" t="s">
        <v>1780</v>
      </c>
    </row>
    <row r="1462" spans="1:1" x14ac:dyDescent="0.25">
      <c r="A1462" t="s">
        <v>1781</v>
      </c>
    </row>
    <row r="1463" spans="1:1" x14ac:dyDescent="0.25">
      <c r="A1463" t="s">
        <v>1782</v>
      </c>
    </row>
    <row r="1464" spans="1:1" x14ac:dyDescent="0.25">
      <c r="A1464" t="s">
        <v>1783</v>
      </c>
    </row>
    <row r="1465" spans="1:1" x14ac:dyDescent="0.25">
      <c r="A1465" t="s">
        <v>1784</v>
      </c>
    </row>
    <row r="1466" spans="1:1" x14ac:dyDescent="0.25">
      <c r="A1466" t="s">
        <v>1785</v>
      </c>
    </row>
    <row r="1467" spans="1:1" x14ac:dyDescent="0.25">
      <c r="A1467" t="s">
        <v>1786</v>
      </c>
    </row>
    <row r="1468" spans="1:1" x14ac:dyDescent="0.25">
      <c r="A1468" t="s">
        <v>1787</v>
      </c>
    </row>
    <row r="1469" spans="1:1" x14ac:dyDescent="0.25">
      <c r="A1469" t="s">
        <v>1788</v>
      </c>
    </row>
    <row r="1470" spans="1:1" x14ac:dyDescent="0.25">
      <c r="A1470" t="s">
        <v>1789</v>
      </c>
    </row>
    <row r="1471" spans="1:1" x14ac:dyDescent="0.25">
      <c r="A1471" t="s">
        <v>1790</v>
      </c>
    </row>
    <row r="1472" spans="1:1" x14ac:dyDescent="0.25">
      <c r="A1472" t="s">
        <v>1791</v>
      </c>
    </row>
    <row r="1473" spans="1:1" x14ac:dyDescent="0.25">
      <c r="A1473" t="s">
        <v>1792</v>
      </c>
    </row>
    <row r="1474" spans="1:1" x14ac:dyDescent="0.25">
      <c r="A1474" t="s">
        <v>1793</v>
      </c>
    </row>
    <row r="1475" spans="1:1" x14ac:dyDescent="0.25">
      <c r="A1475" t="s">
        <v>1794</v>
      </c>
    </row>
    <row r="1476" spans="1:1" x14ac:dyDescent="0.25">
      <c r="A1476" t="s">
        <v>1795</v>
      </c>
    </row>
    <row r="1477" spans="1:1" x14ac:dyDescent="0.25">
      <c r="A1477" t="s">
        <v>1796</v>
      </c>
    </row>
    <row r="1478" spans="1:1" x14ac:dyDescent="0.25">
      <c r="A1478" t="s">
        <v>1797</v>
      </c>
    </row>
    <row r="1479" spans="1:1" x14ac:dyDescent="0.25">
      <c r="A1479" t="s">
        <v>1798</v>
      </c>
    </row>
    <row r="1480" spans="1:1" x14ac:dyDescent="0.25">
      <c r="A1480" t="s">
        <v>1799</v>
      </c>
    </row>
    <row r="1481" spans="1:1" x14ac:dyDescent="0.25">
      <c r="A1481" t="s">
        <v>1800</v>
      </c>
    </row>
    <row r="1482" spans="1:1" x14ac:dyDescent="0.25">
      <c r="A1482" t="s">
        <v>1801</v>
      </c>
    </row>
    <row r="1483" spans="1:1" x14ac:dyDescent="0.25">
      <c r="A1483" t="s">
        <v>1802</v>
      </c>
    </row>
    <row r="1484" spans="1:1" x14ac:dyDescent="0.25">
      <c r="A1484" t="s">
        <v>1803</v>
      </c>
    </row>
    <row r="1485" spans="1:1" x14ac:dyDescent="0.25">
      <c r="A1485" t="s">
        <v>1804</v>
      </c>
    </row>
    <row r="1486" spans="1:1" x14ac:dyDescent="0.25">
      <c r="A1486" t="s">
        <v>1805</v>
      </c>
    </row>
    <row r="1487" spans="1:1" x14ac:dyDescent="0.25">
      <c r="A1487" t="s">
        <v>1806</v>
      </c>
    </row>
    <row r="1488" spans="1:1" x14ac:dyDescent="0.25">
      <c r="A1488" t="s">
        <v>1807</v>
      </c>
    </row>
    <row r="1489" spans="1:1" x14ac:dyDescent="0.25">
      <c r="A1489" t="s">
        <v>1808</v>
      </c>
    </row>
    <row r="1490" spans="1:1" x14ac:dyDescent="0.25">
      <c r="A1490" t="s">
        <v>1809</v>
      </c>
    </row>
    <row r="1491" spans="1:1" x14ac:dyDescent="0.25">
      <c r="A1491" t="s">
        <v>1810</v>
      </c>
    </row>
    <row r="1492" spans="1:1" x14ac:dyDescent="0.25">
      <c r="A1492" t="s">
        <v>1811</v>
      </c>
    </row>
    <row r="1493" spans="1:1" x14ac:dyDescent="0.25">
      <c r="A1493" t="s">
        <v>1812</v>
      </c>
    </row>
    <row r="1494" spans="1:1" x14ac:dyDescent="0.25">
      <c r="A1494" t="s">
        <v>1813</v>
      </c>
    </row>
    <row r="1495" spans="1:1" x14ac:dyDescent="0.25">
      <c r="A1495" t="s">
        <v>1814</v>
      </c>
    </row>
    <row r="1496" spans="1:1" x14ac:dyDescent="0.25">
      <c r="A1496" t="s">
        <v>1815</v>
      </c>
    </row>
    <row r="1497" spans="1:1" x14ac:dyDescent="0.25">
      <c r="A1497" t="s">
        <v>1816</v>
      </c>
    </row>
    <row r="1498" spans="1:1" x14ac:dyDescent="0.25">
      <c r="A1498" t="s">
        <v>1817</v>
      </c>
    </row>
    <row r="1499" spans="1:1" x14ac:dyDescent="0.25">
      <c r="A1499" t="s">
        <v>1818</v>
      </c>
    </row>
    <row r="1500" spans="1:1" x14ac:dyDescent="0.25">
      <c r="A1500" t="s">
        <v>1819</v>
      </c>
    </row>
    <row r="1501" spans="1:1" x14ac:dyDescent="0.25">
      <c r="A1501" t="s">
        <v>1820</v>
      </c>
    </row>
    <row r="1502" spans="1:1" x14ac:dyDescent="0.25">
      <c r="A1502" t="s">
        <v>1821</v>
      </c>
    </row>
    <row r="1503" spans="1:1" x14ac:dyDescent="0.25">
      <c r="A1503" t="s">
        <v>1822</v>
      </c>
    </row>
    <row r="1504" spans="1:1" x14ac:dyDescent="0.25">
      <c r="A1504" t="s">
        <v>1823</v>
      </c>
    </row>
    <row r="1505" spans="1:1" x14ac:dyDescent="0.25">
      <c r="A1505" t="s">
        <v>1824</v>
      </c>
    </row>
    <row r="1506" spans="1:1" x14ac:dyDescent="0.25">
      <c r="A1506" t="s">
        <v>1825</v>
      </c>
    </row>
    <row r="1507" spans="1:1" x14ac:dyDescent="0.25">
      <c r="A1507" t="s">
        <v>1826</v>
      </c>
    </row>
    <row r="1508" spans="1:1" x14ac:dyDescent="0.25">
      <c r="A1508" t="s">
        <v>1827</v>
      </c>
    </row>
    <row r="1509" spans="1:1" x14ac:dyDescent="0.25">
      <c r="A1509" t="s">
        <v>1828</v>
      </c>
    </row>
    <row r="1510" spans="1:1" x14ac:dyDescent="0.25">
      <c r="A1510" t="s">
        <v>1829</v>
      </c>
    </row>
    <row r="1511" spans="1:1" x14ac:dyDescent="0.25">
      <c r="A1511" t="s">
        <v>1830</v>
      </c>
    </row>
    <row r="1512" spans="1:1" x14ac:dyDescent="0.25">
      <c r="A1512" t="s">
        <v>1831</v>
      </c>
    </row>
    <row r="1513" spans="1:1" x14ac:dyDescent="0.25">
      <c r="A1513" t="s">
        <v>1832</v>
      </c>
    </row>
    <row r="1514" spans="1:1" x14ac:dyDescent="0.25">
      <c r="A1514" t="s">
        <v>1833</v>
      </c>
    </row>
    <row r="1515" spans="1:1" x14ac:dyDescent="0.25">
      <c r="A1515" t="s">
        <v>1834</v>
      </c>
    </row>
    <row r="1516" spans="1:1" x14ac:dyDescent="0.25">
      <c r="A1516" t="s">
        <v>1835</v>
      </c>
    </row>
    <row r="1517" spans="1:1" x14ac:dyDescent="0.25">
      <c r="A1517" t="s">
        <v>1836</v>
      </c>
    </row>
    <row r="1518" spans="1:1" x14ac:dyDescent="0.25">
      <c r="A1518" t="s">
        <v>1837</v>
      </c>
    </row>
    <row r="1519" spans="1:1" x14ac:dyDescent="0.25">
      <c r="A1519" t="s">
        <v>1838</v>
      </c>
    </row>
    <row r="1520" spans="1:1" x14ac:dyDescent="0.25">
      <c r="A1520" t="s">
        <v>1839</v>
      </c>
    </row>
    <row r="1521" spans="1:1" x14ac:dyDescent="0.25">
      <c r="A1521" t="s">
        <v>1840</v>
      </c>
    </row>
    <row r="1522" spans="1:1" x14ac:dyDescent="0.25">
      <c r="A1522" t="s">
        <v>1841</v>
      </c>
    </row>
    <row r="1523" spans="1:1" x14ac:dyDescent="0.25">
      <c r="A1523" t="s">
        <v>1842</v>
      </c>
    </row>
    <row r="1524" spans="1:1" x14ac:dyDescent="0.25">
      <c r="A1524" t="s">
        <v>1843</v>
      </c>
    </row>
    <row r="1525" spans="1:1" x14ac:dyDescent="0.25">
      <c r="A1525" t="s">
        <v>1844</v>
      </c>
    </row>
    <row r="1526" spans="1:1" x14ac:dyDescent="0.25">
      <c r="A1526" t="s">
        <v>1845</v>
      </c>
    </row>
    <row r="1527" spans="1:1" x14ac:dyDescent="0.25">
      <c r="A1527" t="s">
        <v>1846</v>
      </c>
    </row>
    <row r="1528" spans="1:1" x14ac:dyDescent="0.25">
      <c r="A1528" t="s">
        <v>1847</v>
      </c>
    </row>
    <row r="1529" spans="1:1" x14ac:dyDescent="0.25">
      <c r="A1529" t="s">
        <v>1848</v>
      </c>
    </row>
    <row r="1530" spans="1:1" x14ac:dyDescent="0.25">
      <c r="A1530" t="s">
        <v>1849</v>
      </c>
    </row>
    <row r="1531" spans="1:1" x14ac:dyDescent="0.25">
      <c r="A1531" t="s">
        <v>1850</v>
      </c>
    </row>
    <row r="1532" spans="1:1" x14ac:dyDescent="0.25">
      <c r="A1532" t="s">
        <v>1851</v>
      </c>
    </row>
    <row r="1533" spans="1:1" x14ac:dyDescent="0.25">
      <c r="A1533" t="s">
        <v>1852</v>
      </c>
    </row>
    <row r="1534" spans="1:1" x14ac:dyDescent="0.25">
      <c r="A1534" t="s">
        <v>1853</v>
      </c>
    </row>
    <row r="1535" spans="1:1" x14ac:dyDescent="0.25">
      <c r="A1535" t="s">
        <v>1854</v>
      </c>
    </row>
    <row r="1536" spans="1:1" x14ac:dyDescent="0.25">
      <c r="A1536" t="s">
        <v>1855</v>
      </c>
    </row>
    <row r="1537" spans="1:1" x14ac:dyDescent="0.25">
      <c r="A1537" t="s">
        <v>1856</v>
      </c>
    </row>
    <row r="1538" spans="1:1" x14ac:dyDescent="0.25">
      <c r="A1538" t="s">
        <v>1857</v>
      </c>
    </row>
    <row r="1539" spans="1:1" x14ac:dyDescent="0.25">
      <c r="A1539" t="s">
        <v>1858</v>
      </c>
    </row>
    <row r="1540" spans="1:1" x14ac:dyDescent="0.25">
      <c r="A1540" t="s">
        <v>1859</v>
      </c>
    </row>
    <row r="1541" spans="1:1" x14ac:dyDescent="0.25">
      <c r="A1541" t="s">
        <v>1860</v>
      </c>
    </row>
    <row r="1542" spans="1:1" x14ac:dyDescent="0.25">
      <c r="A1542" t="s">
        <v>1861</v>
      </c>
    </row>
    <row r="1543" spans="1:1" x14ac:dyDescent="0.25">
      <c r="A1543" t="s">
        <v>1862</v>
      </c>
    </row>
    <row r="1544" spans="1:1" x14ac:dyDescent="0.25">
      <c r="A1544" t="s">
        <v>1863</v>
      </c>
    </row>
    <row r="1545" spans="1:1" x14ac:dyDescent="0.25">
      <c r="A1545" t="s">
        <v>1864</v>
      </c>
    </row>
    <row r="1546" spans="1:1" x14ac:dyDescent="0.25">
      <c r="A1546" t="s">
        <v>1865</v>
      </c>
    </row>
    <row r="1547" spans="1:1" x14ac:dyDescent="0.25">
      <c r="A1547" t="s">
        <v>1866</v>
      </c>
    </row>
    <row r="1548" spans="1:1" x14ac:dyDescent="0.25">
      <c r="A1548" t="s">
        <v>1867</v>
      </c>
    </row>
    <row r="1549" spans="1:1" x14ac:dyDescent="0.25">
      <c r="A1549" t="s">
        <v>1868</v>
      </c>
    </row>
    <row r="1550" spans="1:1" x14ac:dyDescent="0.25">
      <c r="A1550" t="s">
        <v>1869</v>
      </c>
    </row>
    <row r="1551" spans="1:1" x14ac:dyDescent="0.25">
      <c r="A1551" t="s">
        <v>1870</v>
      </c>
    </row>
    <row r="1552" spans="1:1" x14ac:dyDescent="0.25">
      <c r="A1552" t="s">
        <v>1871</v>
      </c>
    </row>
    <row r="1553" spans="1:1" x14ac:dyDescent="0.25">
      <c r="A1553" t="s">
        <v>1872</v>
      </c>
    </row>
    <row r="1554" spans="1:1" x14ac:dyDescent="0.25">
      <c r="A1554" t="s">
        <v>1873</v>
      </c>
    </row>
    <row r="1555" spans="1:1" x14ac:dyDescent="0.25">
      <c r="A1555" t="s">
        <v>1874</v>
      </c>
    </row>
    <row r="1556" spans="1:1" x14ac:dyDescent="0.25">
      <c r="A1556" t="s">
        <v>1875</v>
      </c>
    </row>
    <row r="1557" spans="1:1" x14ac:dyDescent="0.25">
      <c r="A1557" t="s">
        <v>1876</v>
      </c>
    </row>
    <row r="1558" spans="1:1" x14ac:dyDescent="0.25">
      <c r="A1558" t="s">
        <v>1877</v>
      </c>
    </row>
    <row r="1559" spans="1:1" x14ac:dyDescent="0.25">
      <c r="A1559" t="s">
        <v>1878</v>
      </c>
    </row>
    <row r="1560" spans="1:1" x14ac:dyDescent="0.25">
      <c r="A1560" t="s">
        <v>1879</v>
      </c>
    </row>
    <row r="1561" spans="1:1" x14ac:dyDescent="0.25">
      <c r="A1561" t="s">
        <v>1880</v>
      </c>
    </row>
    <row r="1562" spans="1:1" x14ac:dyDescent="0.25">
      <c r="A1562" t="s">
        <v>1881</v>
      </c>
    </row>
    <row r="1563" spans="1:1" x14ac:dyDescent="0.25">
      <c r="A1563" t="s">
        <v>1882</v>
      </c>
    </row>
    <row r="1564" spans="1:1" x14ac:dyDescent="0.25">
      <c r="A1564" t="s">
        <v>1883</v>
      </c>
    </row>
    <row r="1565" spans="1:1" x14ac:dyDescent="0.25">
      <c r="A1565" t="s">
        <v>1884</v>
      </c>
    </row>
    <row r="1566" spans="1:1" x14ac:dyDescent="0.25">
      <c r="A1566" t="s">
        <v>1885</v>
      </c>
    </row>
    <row r="1567" spans="1:1" x14ac:dyDescent="0.25">
      <c r="A1567" t="s">
        <v>1886</v>
      </c>
    </row>
    <row r="1568" spans="1:1" x14ac:dyDescent="0.25">
      <c r="A1568" t="s">
        <v>1887</v>
      </c>
    </row>
    <row r="1569" spans="1:1" x14ac:dyDescent="0.25">
      <c r="A1569" t="s">
        <v>1888</v>
      </c>
    </row>
    <row r="1570" spans="1:1" x14ac:dyDescent="0.25">
      <c r="A1570" t="s">
        <v>1889</v>
      </c>
    </row>
    <row r="1571" spans="1:1" x14ac:dyDescent="0.25">
      <c r="A1571" t="s">
        <v>1890</v>
      </c>
    </row>
    <row r="1572" spans="1:1" x14ac:dyDescent="0.25">
      <c r="A1572" t="s">
        <v>1891</v>
      </c>
    </row>
    <row r="1573" spans="1:1" x14ac:dyDescent="0.25">
      <c r="A1573" t="s">
        <v>1892</v>
      </c>
    </row>
    <row r="1574" spans="1:1" x14ac:dyDescent="0.25">
      <c r="A1574" t="s">
        <v>1893</v>
      </c>
    </row>
    <row r="1575" spans="1:1" x14ac:dyDescent="0.25">
      <c r="A1575" t="s">
        <v>1894</v>
      </c>
    </row>
    <row r="1576" spans="1:1" x14ac:dyDescent="0.25">
      <c r="A1576" t="s">
        <v>1895</v>
      </c>
    </row>
    <row r="1577" spans="1:1" x14ac:dyDescent="0.25">
      <c r="A1577" t="s">
        <v>1896</v>
      </c>
    </row>
    <row r="1578" spans="1:1" x14ac:dyDescent="0.25">
      <c r="A1578" t="s">
        <v>1897</v>
      </c>
    </row>
    <row r="1579" spans="1:1" x14ac:dyDescent="0.25">
      <c r="A1579" t="s">
        <v>1898</v>
      </c>
    </row>
    <row r="1580" spans="1:1" x14ac:dyDescent="0.25">
      <c r="A1580" t="s">
        <v>1899</v>
      </c>
    </row>
    <row r="1581" spans="1:1" x14ac:dyDescent="0.25">
      <c r="A1581" t="s">
        <v>1900</v>
      </c>
    </row>
    <row r="1582" spans="1:1" x14ac:dyDescent="0.25">
      <c r="A1582" t="s">
        <v>1901</v>
      </c>
    </row>
    <row r="1583" spans="1:1" x14ac:dyDescent="0.25">
      <c r="A1583" t="s">
        <v>1902</v>
      </c>
    </row>
    <row r="1584" spans="1:1" x14ac:dyDescent="0.25">
      <c r="A1584" t="s">
        <v>1903</v>
      </c>
    </row>
    <row r="1585" spans="1:1" x14ac:dyDescent="0.25">
      <c r="A1585" t="s">
        <v>1904</v>
      </c>
    </row>
    <row r="1586" spans="1:1" x14ac:dyDescent="0.25">
      <c r="A1586" t="s">
        <v>1905</v>
      </c>
    </row>
    <row r="1587" spans="1:1" x14ac:dyDescent="0.25">
      <c r="A1587" t="s">
        <v>1906</v>
      </c>
    </row>
    <row r="1588" spans="1:1" x14ac:dyDescent="0.25">
      <c r="A1588" t="s">
        <v>1907</v>
      </c>
    </row>
    <row r="1589" spans="1:1" x14ac:dyDescent="0.25">
      <c r="A1589" t="s">
        <v>1908</v>
      </c>
    </row>
    <row r="1590" spans="1:1" x14ac:dyDescent="0.25">
      <c r="A1590" t="s">
        <v>1909</v>
      </c>
    </row>
    <row r="1591" spans="1:1" x14ac:dyDescent="0.25">
      <c r="A1591" t="s">
        <v>1910</v>
      </c>
    </row>
    <row r="1592" spans="1:1" x14ac:dyDescent="0.25">
      <c r="A1592" t="s">
        <v>1911</v>
      </c>
    </row>
    <row r="1593" spans="1:1" x14ac:dyDescent="0.25">
      <c r="A1593" t="s">
        <v>1912</v>
      </c>
    </row>
    <row r="1594" spans="1:1" x14ac:dyDescent="0.25">
      <c r="A1594" t="s">
        <v>1913</v>
      </c>
    </row>
    <row r="1595" spans="1:1" x14ac:dyDescent="0.25">
      <c r="A1595" t="s">
        <v>1914</v>
      </c>
    </row>
    <row r="1596" spans="1:1" x14ac:dyDescent="0.25">
      <c r="A1596" t="s">
        <v>1915</v>
      </c>
    </row>
    <row r="1597" spans="1:1" x14ac:dyDescent="0.25">
      <c r="A1597" t="s">
        <v>1916</v>
      </c>
    </row>
    <row r="1598" spans="1:1" x14ac:dyDescent="0.25">
      <c r="A1598" t="s">
        <v>1917</v>
      </c>
    </row>
    <row r="1599" spans="1:1" x14ac:dyDescent="0.25">
      <c r="A1599" t="s">
        <v>1918</v>
      </c>
    </row>
    <row r="1600" spans="1:1" x14ac:dyDescent="0.25">
      <c r="A1600" t="s">
        <v>1919</v>
      </c>
    </row>
    <row r="1601" spans="1:1" x14ac:dyDescent="0.25">
      <c r="A1601" t="s">
        <v>1920</v>
      </c>
    </row>
    <row r="1602" spans="1:1" x14ac:dyDescent="0.25">
      <c r="A1602" t="s">
        <v>1921</v>
      </c>
    </row>
    <row r="1603" spans="1:1" x14ac:dyDescent="0.25">
      <c r="A1603" t="s">
        <v>1922</v>
      </c>
    </row>
    <row r="1604" spans="1:1" x14ac:dyDescent="0.25">
      <c r="A1604" t="s">
        <v>1923</v>
      </c>
    </row>
    <row r="1605" spans="1:1" x14ac:dyDescent="0.25">
      <c r="A1605" t="s">
        <v>1924</v>
      </c>
    </row>
    <row r="1606" spans="1:1" x14ac:dyDescent="0.25">
      <c r="A1606" t="s">
        <v>1925</v>
      </c>
    </row>
    <row r="1607" spans="1:1" x14ac:dyDescent="0.25">
      <c r="A1607" t="s">
        <v>1926</v>
      </c>
    </row>
    <row r="1608" spans="1:1" x14ac:dyDescent="0.25">
      <c r="A1608" t="s">
        <v>1927</v>
      </c>
    </row>
    <row r="1609" spans="1:1" x14ac:dyDescent="0.25">
      <c r="A1609" t="s">
        <v>1928</v>
      </c>
    </row>
    <row r="1610" spans="1:1" x14ac:dyDescent="0.25">
      <c r="A1610" t="s">
        <v>1929</v>
      </c>
    </row>
    <row r="1611" spans="1:1" x14ac:dyDescent="0.25">
      <c r="A1611" t="s">
        <v>1930</v>
      </c>
    </row>
    <row r="1612" spans="1:1" x14ac:dyDescent="0.25">
      <c r="A1612" t="s">
        <v>1931</v>
      </c>
    </row>
    <row r="1613" spans="1:1" x14ac:dyDescent="0.25">
      <c r="A1613" t="s">
        <v>1932</v>
      </c>
    </row>
    <row r="1614" spans="1:1" x14ac:dyDescent="0.25">
      <c r="A1614" t="s">
        <v>1933</v>
      </c>
    </row>
    <row r="1615" spans="1:1" x14ac:dyDescent="0.25">
      <c r="A1615" t="s">
        <v>1934</v>
      </c>
    </row>
    <row r="1616" spans="1:1" x14ac:dyDescent="0.25">
      <c r="A1616" t="s">
        <v>1935</v>
      </c>
    </row>
    <row r="1617" spans="1:1" x14ac:dyDescent="0.25">
      <c r="A1617" t="s">
        <v>1936</v>
      </c>
    </row>
    <row r="1618" spans="1:1" x14ac:dyDescent="0.25">
      <c r="A1618" t="s">
        <v>1937</v>
      </c>
    </row>
    <row r="1619" spans="1:1" x14ac:dyDescent="0.25">
      <c r="A1619" t="s">
        <v>1938</v>
      </c>
    </row>
    <row r="1620" spans="1:1" x14ac:dyDescent="0.25">
      <c r="A1620" t="s">
        <v>1939</v>
      </c>
    </row>
    <row r="1621" spans="1:1" x14ac:dyDescent="0.25">
      <c r="A1621" t="s">
        <v>1940</v>
      </c>
    </row>
    <row r="1622" spans="1:1" x14ac:dyDescent="0.25">
      <c r="A1622" t="s">
        <v>1941</v>
      </c>
    </row>
    <row r="1623" spans="1:1" x14ac:dyDescent="0.25">
      <c r="A1623" t="s">
        <v>1942</v>
      </c>
    </row>
    <row r="1624" spans="1:1" x14ac:dyDescent="0.25">
      <c r="A1624" t="s">
        <v>1943</v>
      </c>
    </row>
    <row r="1625" spans="1:1" x14ac:dyDescent="0.25">
      <c r="A1625" t="s">
        <v>1944</v>
      </c>
    </row>
    <row r="1626" spans="1:1" x14ac:dyDescent="0.25">
      <c r="A1626" t="s">
        <v>1945</v>
      </c>
    </row>
    <row r="1627" spans="1:1" x14ac:dyDescent="0.25">
      <c r="A1627" t="s">
        <v>1946</v>
      </c>
    </row>
    <row r="1628" spans="1:1" x14ac:dyDescent="0.25">
      <c r="A1628" t="s">
        <v>1947</v>
      </c>
    </row>
    <row r="1629" spans="1:1" x14ac:dyDescent="0.25">
      <c r="A1629" t="s">
        <v>1948</v>
      </c>
    </row>
    <row r="1630" spans="1:1" x14ac:dyDescent="0.25">
      <c r="A1630" t="s">
        <v>1949</v>
      </c>
    </row>
    <row r="1631" spans="1:1" x14ac:dyDescent="0.25">
      <c r="A1631" t="s">
        <v>1950</v>
      </c>
    </row>
    <row r="1632" spans="1:1" x14ac:dyDescent="0.25">
      <c r="A1632" t="s">
        <v>1951</v>
      </c>
    </row>
    <row r="1633" spans="1:1" x14ac:dyDescent="0.25">
      <c r="A1633" t="s">
        <v>1952</v>
      </c>
    </row>
    <row r="1634" spans="1:1" x14ac:dyDescent="0.25">
      <c r="A1634" t="s">
        <v>1953</v>
      </c>
    </row>
    <row r="1635" spans="1:1" x14ac:dyDescent="0.25">
      <c r="A1635" t="s">
        <v>1954</v>
      </c>
    </row>
    <row r="1636" spans="1:1" x14ac:dyDescent="0.25">
      <c r="A1636" t="s">
        <v>1955</v>
      </c>
    </row>
    <row r="1637" spans="1:1" x14ac:dyDescent="0.25">
      <c r="A1637" t="s">
        <v>1956</v>
      </c>
    </row>
    <row r="1638" spans="1:1" x14ac:dyDescent="0.25">
      <c r="A1638" t="s">
        <v>1957</v>
      </c>
    </row>
    <row r="1639" spans="1:1" x14ac:dyDescent="0.25">
      <c r="A1639" t="s">
        <v>1958</v>
      </c>
    </row>
    <row r="1640" spans="1:1" x14ac:dyDescent="0.25">
      <c r="A1640" t="s">
        <v>1959</v>
      </c>
    </row>
    <row r="1641" spans="1:1" x14ac:dyDescent="0.25">
      <c r="A1641" t="s">
        <v>1960</v>
      </c>
    </row>
    <row r="1642" spans="1:1" x14ac:dyDescent="0.25">
      <c r="A1642" t="s">
        <v>1961</v>
      </c>
    </row>
    <row r="1643" spans="1:1" x14ac:dyDescent="0.25">
      <c r="A1643" t="s">
        <v>1962</v>
      </c>
    </row>
    <row r="1644" spans="1:1" x14ac:dyDescent="0.25">
      <c r="A1644" t="s">
        <v>1963</v>
      </c>
    </row>
    <row r="1645" spans="1:1" x14ac:dyDescent="0.25">
      <c r="A1645" t="s">
        <v>1964</v>
      </c>
    </row>
    <row r="1646" spans="1:1" x14ac:dyDescent="0.25">
      <c r="A1646" t="s">
        <v>1965</v>
      </c>
    </row>
    <row r="1647" spans="1:1" x14ac:dyDescent="0.25">
      <c r="A1647" t="s">
        <v>1966</v>
      </c>
    </row>
    <row r="1648" spans="1:1" x14ac:dyDescent="0.25">
      <c r="A1648" t="s">
        <v>1967</v>
      </c>
    </row>
    <row r="1649" spans="1:1" x14ac:dyDescent="0.25">
      <c r="A1649" t="s">
        <v>1968</v>
      </c>
    </row>
    <row r="1650" spans="1:1" x14ac:dyDescent="0.25">
      <c r="A1650" t="s">
        <v>1969</v>
      </c>
    </row>
    <row r="1651" spans="1:1" x14ac:dyDescent="0.25">
      <c r="A1651" t="s">
        <v>1970</v>
      </c>
    </row>
    <row r="1652" spans="1:1" x14ac:dyDescent="0.25">
      <c r="A1652" t="s">
        <v>1971</v>
      </c>
    </row>
    <row r="1653" spans="1:1" x14ac:dyDescent="0.25">
      <c r="A1653" t="s">
        <v>1972</v>
      </c>
    </row>
    <row r="1654" spans="1:1" x14ac:dyDescent="0.25">
      <c r="A1654" t="s">
        <v>1973</v>
      </c>
    </row>
    <row r="1655" spans="1:1" x14ac:dyDescent="0.25">
      <c r="A1655" t="s">
        <v>1974</v>
      </c>
    </row>
    <row r="1656" spans="1:1" x14ac:dyDescent="0.25">
      <c r="A1656" t="s">
        <v>1975</v>
      </c>
    </row>
    <row r="1657" spans="1:1" x14ac:dyDescent="0.25">
      <c r="A1657" t="s">
        <v>1976</v>
      </c>
    </row>
    <row r="1658" spans="1:1" x14ac:dyDescent="0.25">
      <c r="A1658" t="s">
        <v>1977</v>
      </c>
    </row>
    <row r="1659" spans="1:1" x14ac:dyDescent="0.25">
      <c r="A1659" t="s">
        <v>1978</v>
      </c>
    </row>
    <row r="1660" spans="1:1" x14ac:dyDescent="0.25">
      <c r="A1660" t="s">
        <v>1979</v>
      </c>
    </row>
    <row r="1661" spans="1:1" x14ac:dyDescent="0.25">
      <c r="A1661" t="s">
        <v>1980</v>
      </c>
    </row>
    <row r="1662" spans="1:1" x14ac:dyDescent="0.25">
      <c r="A1662" t="s">
        <v>1981</v>
      </c>
    </row>
    <row r="1663" spans="1:1" x14ac:dyDescent="0.25">
      <c r="A1663" t="s">
        <v>1982</v>
      </c>
    </row>
    <row r="1664" spans="1:1" x14ac:dyDescent="0.25">
      <c r="A1664" t="s">
        <v>1983</v>
      </c>
    </row>
    <row r="1665" spans="1:1" x14ac:dyDescent="0.25">
      <c r="A1665" t="s">
        <v>1984</v>
      </c>
    </row>
    <row r="1666" spans="1:1" x14ac:dyDescent="0.25">
      <c r="A1666" t="s">
        <v>1985</v>
      </c>
    </row>
    <row r="1667" spans="1:1" x14ac:dyDescent="0.25">
      <c r="A1667" t="s">
        <v>1986</v>
      </c>
    </row>
    <row r="1668" spans="1:1" x14ac:dyDescent="0.25">
      <c r="A1668" t="s">
        <v>1987</v>
      </c>
    </row>
    <row r="1669" spans="1:1" x14ac:dyDescent="0.25">
      <c r="A1669" t="s">
        <v>1988</v>
      </c>
    </row>
    <row r="1670" spans="1:1" x14ac:dyDescent="0.25">
      <c r="A1670" t="s">
        <v>1989</v>
      </c>
    </row>
    <row r="1671" spans="1:1" x14ac:dyDescent="0.25">
      <c r="A1671" t="s">
        <v>1990</v>
      </c>
    </row>
    <row r="1672" spans="1:1" x14ac:dyDescent="0.25">
      <c r="A1672" t="s">
        <v>1991</v>
      </c>
    </row>
    <row r="1673" spans="1:1" x14ac:dyDescent="0.25">
      <c r="A1673" t="s">
        <v>1992</v>
      </c>
    </row>
    <row r="1674" spans="1:1" x14ac:dyDescent="0.25">
      <c r="A1674" t="s">
        <v>1993</v>
      </c>
    </row>
    <row r="1675" spans="1:1" x14ac:dyDescent="0.25">
      <c r="A1675" t="s">
        <v>1994</v>
      </c>
    </row>
    <row r="1676" spans="1:1" x14ac:dyDescent="0.25">
      <c r="A1676" t="s">
        <v>1995</v>
      </c>
    </row>
    <row r="1677" spans="1:1" x14ac:dyDescent="0.25">
      <c r="A1677" t="s">
        <v>1996</v>
      </c>
    </row>
    <row r="1678" spans="1:1" x14ac:dyDescent="0.25">
      <c r="A1678" t="s">
        <v>1997</v>
      </c>
    </row>
    <row r="1679" spans="1:1" x14ac:dyDescent="0.25">
      <c r="A1679" t="s">
        <v>1998</v>
      </c>
    </row>
    <row r="1680" spans="1:1" x14ac:dyDescent="0.25">
      <c r="A1680" t="s">
        <v>1999</v>
      </c>
    </row>
    <row r="1681" spans="1:1" x14ac:dyDescent="0.25">
      <c r="A1681" t="s">
        <v>2000</v>
      </c>
    </row>
    <row r="1682" spans="1:1" x14ac:dyDescent="0.25">
      <c r="A1682" t="s">
        <v>2001</v>
      </c>
    </row>
    <row r="1683" spans="1:1" x14ac:dyDescent="0.25">
      <c r="A1683" t="s">
        <v>2002</v>
      </c>
    </row>
    <row r="1684" spans="1:1" x14ac:dyDescent="0.25">
      <c r="A1684" t="s">
        <v>2003</v>
      </c>
    </row>
    <row r="1685" spans="1:1" x14ac:dyDescent="0.25">
      <c r="A1685" t="s">
        <v>2004</v>
      </c>
    </row>
    <row r="1686" spans="1:1" x14ac:dyDescent="0.25">
      <c r="A1686" t="s">
        <v>2005</v>
      </c>
    </row>
    <row r="1687" spans="1:1" x14ac:dyDescent="0.25">
      <c r="A1687" t="s">
        <v>2006</v>
      </c>
    </row>
    <row r="1688" spans="1:1" x14ac:dyDescent="0.25">
      <c r="A1688" t="s">
        <v>2007</v>
      </c>
    </row>
    <row r="1689" spans="1:1" x14ac:dyDescent="0.25">
      <c r="A1689" t="s">
        <v>2008</v>
      </c>
    </row>
    <row r="1690" spans="1:1" x14ac:dyDescent="0.25">
      <c r="A1690" t="s">
        <v>2009</v>
      </c>
    </row>
    <row r="1691" spans="1:1" x14ac:dyDescent="0.25">
      <c r="A1691" t="s">
        <v>2010</v>
      </c>
    </row>
    <row r="1692" spans="1:1" x14ac:dyDescent="0.25">
      <c r="A1692" t="s">
        <v>2011</v>
      </c>
    </row>
    <row r="1693" spans="1:1" x14ac:dyDescent="0.25">
      <c r="A1693" t="s">
        <v>2012</v>
      </c>
    </row>
    <row r="1694" spans="1:1" x14ac:dyDescent="0.25">
      <c r="A1694" t="s">
        <v>2013</v>
      </c>
    </row>
    <row r="1695" spans="1:1" x14ac:dyDescent="0.25">
      <c r="A1695" t="s">
        <v>2014</v>
      </c>
    </row>
    <row r="1696" spans="1:1" x14ac:dyDescent="0.25">
      <c r="A1696" t="s">
        <v>2015</v>
      </c>
    </row>
    <row r="1697" spans="1:1" x14ac:dyDescent="0.25">
      <c r="A1697" t="s">
        <v>2016</v>
      </c>
    </row>
    <row r="1698" spans="1:1" x14ac:dyDescent="0.25">
      <c r="A1698" t="s">
        <v>2017</v>
      </c>
    </row>
    <row r="1699" spans="1:1" x14ac:dyDescent="0.25">
      <c r="A1699" t="s">
        <v>2018</v>
      </c>
    </row>
    <row r="1700" spans="1:1" x14ac:dyDescent="0.25">
      <c r="A1700" t="s">
        <v>2019</v>
      </c>
    </row>
    <row r="1701" spans="1:1" x14ac:dyDescent="0.25">
      <c r="A1701" t="s">
        <v>2020</v>
      </c>
    </row>
    <row r="1702" spans="1:1" x14ac:dyDescent="0.25">
      <c r="A1702" t="s">
        <v>2021</v>
      </c>
    </row>
    <row r="1703" spans="1:1" x14ac:dyDescent="0.25">
      <c r="A1703" t="s">
        <v>2022</v>
      </c>
    </row>
    <row r="1704" spans="1:1" x14ac:dyDescent="0.25">
      <c r="A1704" t="s">
        <v>2023</v>
      </c>
    </row>
    <row r="1705" spans="1:1" x14ac:dyDescent="0.25">
      <c r="A1705" t="s">
        <v>2024</v>
      </c>
    </row>
    <row r="1706" spans="1:1" x14ac:dyDescent="0.25">
      <c r="A1706" t="s">
        <v>2025</v>
      </c>
    </row>
    <row r="1707" spans="1:1" x14ac:dyDescent="0.25">
      <c r="A1707" t="s">
        <v>2026</v>
      </c>
    </row>
    <row r="1708" spans="1:1" x14ac:dyDescent="0.25">
      <c r="A1708" t="s">
        <v>2027</v>
      </c>
    </row>
    <row r="1709" spans="1:1" x14ac:dyDescent="0.25">
      <c r="A1709" t="s">
        <v>2028</v>
      </c>
    </row>
    <row r="1710" spans="1:1" x14ac:dyDescent="0.25">
      <c r="A1710" t="s">
        <v>2029</v>
      </c>
    </row>
    <row r="1711" spans="1:1" x14ac:dyDescent="0.25">
      <c r="A1711" t="s">
        <v>2030</v>
      </c>
    </row>
    <row r="1712" spans="1:1" x14ac:dyDescent="0.25">
      <c r="A1712" t="s">
        <v>2031</v>
      </c>
    </row>
    <row r="1713" spans="1:1" x14ac:dyDescent="0.25">
      <c r="A1713" t="s">
        <v>2032</v>
      </c>
    </row>
    <row r="1714" spans="1:1" x14ac:dyDescent="0.25">
      <c r="A1714" t="s">
        <v>2033</v>
      </c>
    </row>
    <row r="1715" spans="1:1" x14ac:dyDescent="0.25">
      <c r="A1715" t="s">
        <v>2034</v>
      </c>
    </row>
    <row r="1716" spans="1:1" x14ac:dyDescent="0.25">
      <c r="A1716" t="s">
        <v>2035</v>
      </c>
    </row>
    <row r="1717" spans="1:1" x14ac:dyDescent="0.25">
      <c r="A1717" t="s">
        <v>2036</v>
      </c>
    </row>
    <row r="1718" spans="1:1" x14ac:dyDescent="0.25">
      <c r="A1718" t="s">
        <v>2037</v>
      </c>
    </row>
    <row r="1719" spans="1:1" x14ac:dyDescent="0.25">
      <c r="A1719" t="s">
        <v>2038</v>
      </c>
    </row>
    <row r="1720" spans="1:1" x14ac:dyDescent="0.25">
      <c r="A1720" t="s">
        <v>2039</v>
      </c>
    </row>
    <row r="1721" spans="1:1" x14ac:dyDescent="0.25">
      <c r="A1721" t="s">
        <v>2040</v>
      </c>
    </row>
    <row r="1722" spans="1:1" x14ac:dyDescent="0.25">
      <c r="A1722" t="s">
        <v>2041</v>
      </c>
    </row>
    <row r="1723" spans="1:1" x14ac:dyDescent="0.25">
      <c r="A1723" t="s">
        <v>2042</v>
      </c>
    </row>
    <row r="1724" spans="1:1" x14ac:dyDescent="0.25">
      <c r="A1724" t="s">
        <v>2043</v>
      </c>
    </row>
    <row r="1725" spans="1:1" x14ac:dyDescent="0.25">
      <c r="A1725" t="s">
        <v>2044</v>
      </c>
    </row>
    <row r="1726" spans="1:1" x14ac:dyDescent="0.25">
      <c r="A1726" t="s">
        <v>2045</v>
      </c>
    </row>
    <row r="1727" spans="1:1" x14ac:dyDescent="0.25">
      <c r="A1727" t="s">
        <v>2046</v>
      </c>
    </row>
    <row r="1728" spans="1:1" x14ac:dyDescent="0.25">
      <c r="A1728" t="s">
        <v>2047</v>
      </c>
    </row>
    <row r="1729" spans="1:1" x14ac:dyDescent="0.25">
      <c r="A1729" t="s">
        <v>2048</v>
      </c>
    </row>
    <row r="1730" spans="1:1" x14ac:dyDescent="0.25">
      <c r="A1730" t="s">
        <v>2049</v>
      </c>
    </row>
    <row r="1731" spans="1:1" x14ac:dyDescent="0.25">
      <c r="A1731" t="s">
        <v>2050</v>
      </c>
    </row>
    <row r="1732" spans="1:1" x14ac:dyDescent="0.25">
      <c r="A1732" t="s">
        <v>2051</v>
      </c>
    </row>
    <row r="1733" spans="1:1" x14ac:dyDescent="0.25">
      <c r="A1733" t="s">
        <v>2052</v>
      </c>
    </row>
    <row r="1734" spans="1:1" x14ac:dyDescent="0.25">
      <c r="A1734" t="s">
        <v>2053</v>
      </c>
    </row>
    <row r="1735" spans="1:1" x14ac:dyDescent="0.25">
      <c r="A1735" t="s">
        <v>2054</v>
      </c>
    </row>
    <row r="1736" spans="1:1" x14ac:dyDescent="0.25">
      <c r="A1736" t="s">
        <v>2055</v>
      </c>
    </row>
    <row r="1737" spans="1:1" x14ac:dyDescent="0.25">
      <c r="A1737" t="s">
        <v>2056</v>
      </c>
    </row>
    <row r="1738" spans="1:1" x14ac:dyDescent="0.25">
      <c r="A1738" t="s">
        <v>2057</v>
      </c>
    </row>
    <row r="1739" spans="1:1" x14ac:dyDescent="0.25">
      <c r="A1739" t="s">
        <v>2058</v>
      </c>
    </row>
    <row r="1740" spans="1:1" x14ac:dyDescent="0.25">
      <c r="A1740" t="s">
        <v>2059</v>
      </c>
    </row>
    <row r="1741" spans="1:1" x14ac:dyDescent="0.25">
      <c r="A1741" t="s">
        <v>2060</v>
      </c>
    </row>
    <row r="1742" spans="1:1" x14ac:dyDescent="0.25">
      <c r="A1742" t="s">
        <v>2061</v>
      </c>
    </row>
    <row r="1743" spans="1:1" x14ac:dyDescent="0.25">
      <c r="A1743" t="s">
        <v>2062</v>
      </c>
    </row>
    <row r="1744" spans="1:1" x14ac:dyDescent="0.25">
      <c r="A1744" t="s">
        <v>2063</v>
      </c>
    </row>
    <row r="1745" spans="1:1" x14ac:dyDescent="0.25">
      <c r="A1745" t="s">
        <v>2064</v>
      </c>
    </row>
    <row r="1746" spans="1:1" x14ac:dyDescent="0.25">
      <c r="A1746" t="s">
        <v>2065</v>
      </c>
    </row>
    <row r="1747" spans="1:1" x14ac:dyDescent="0.25">
      <c r="A1747" t="s">
        <v>2066</v>
      </c>
    </row>
    <row r="1748" spans="1:1" x14ac:dyDescent="0.25">
      <c r="A1748" t="s">
        <v>2067</v>
      </c>
    </row>
    <row r="1749" spans="1:1" x14ac:dyDescent="0.25">
      <c r="A1749" t="s">
        <v>2068</v>
      </c>
    </row>
    <row r="1750" spans="1:1" x14ac:dyDescent="0.25">
      <c r="A1750" t="s">
        <v>2069</v>
      </c>
    </row>
    <row r="1751" spans="1:1" x14ac:dyDescent="0.25">
      <c r="A1751" t="s">
        <v>2070</v>
      </c>
    </row>
    <row r="1752" spans="1:1" x14ac:dyDescent="0.25">
      <c r="A1752" t="s">
        <v>2071</v>
      </c>
    </row>
    <row r="1753" spans="1:1" x14ac:dyDescent="0.25">
      <c r="A1753" t="s">
        <v>2072</v>
      </c>
    </row>
    <row r="1754" spans="1:1" x14ac:dyDescent="0.25">
      <c r="A1754" t="s">
        <v>2073</v>
      </c>
    </row>
    <row r="1755" spans="1:1" x14ac:dyDescent="0.25">
      <c r="A1755" t="s">
        <v>2074</v>
      </c>
    </row>
    <row r="1756" spans="1:1" x14ac:dyDescent="0.25">
      <c r="A1756" t="s">
        <v>2075</v>
      </c>
    </row>
    <row r="1757" spans="1:1" x14ac:dyDescent="0.25">
      <c r="A1757" t="s">
        <v>2076</v>
      </c>
    </row>
    <row r="1758" spans="1:1" x14ac:dyDescent="0.25">
      <c r="A1758" t="s">
        <v>2077</v>
      </c>
    </row>
    <row r="1759" spans="1:1" x14ac:dyDescent="0.25">
      <c r="A1759" t="s">
        <v>2078</v>
      </c>
    </row>
    <row r="1760" spans="1:1" x14ac:dyDescent="0.25">
      <c r="A1760" t="s">
        <v>2079</v>
      </c>
    </row>
    <row r="1761" spans="1:1" x14ac:dyDescent="0.25">
      <c r="A1761" t="s">
        <v>2080</v>
      </c>
    </row>
    <row r="1762" spans="1:1" x14ac:dyDescent="0.25">
      <c r="A1762" t="s">
        <v>2081</v>
      </c>
    </row>
    <row r="1763" spans="1:1" x14ac:dyDescent="0.25">
      <c r="A1763" t="s">
        <v>2082</v>
      </c>
    </row>
    <row r="1764" spans="1:1" x14ac:dyDescent="0.25">
      <c r="A1764" t="s">
        <v>2083</v>
      </c>
    </row>
    <row r="1765" spans="1:1" x14ac:dyDescent="0.25">
      <c r="A1765" t="s">
        <v>2084</v>
      </c>
    </row>
    <row r="1766" spans="1:1" x14ac:dyDescent="0.25">
      <c r="A1766" t="s">
        <v>2085</v>
      </c>
    </row>
    <row r="1767" spans="1:1" x14ac:dyDescent="0.25">
      <c r="A1767" t="s">
        <v>2086</v>
      </c>
    </row>
    <row r="1768" spans="1:1" x14ac:dyDescent="0.25">
      <c r="A1768" t="s">
        <v>2087</v>
      </c>
    </row>
    <row r="1769" spans="1:1" x14ac:dyDescent="0.25">
      <c r="A1769" t="s">
        <v>2088</v>
      </c>
    </row>
    <row r="1770" spans="1:1" x14ac:dyDescent="0.25">
      <c r="A1770" t="s">
        <v>2089</v>
      </c>
    </row>
    <row r="1771" spans="1:1" x14ac:dyDescent="0.25">
      <c r="A1771" t="s">
        <v>2090</v>
      </c>
    </row>
    <row r="1772" spans="1:1" x14ac:dyDescent="0.25">
      <c r="A1772" t="s">
        <v>2091</v>
      </c>
    </row>
    <row r="1773" spans="1:1" x14ac:dyDescent="0.25">
      <c r="A1773" t="s">
        <v>2092</v>
      </c>
    </row>
    <row r="1774" spans="1:1" x14ac:dyDescent="0.25">
      <c r="A1774" t="s">
        <v>2093</v>
      </c>
    </row>
    <row r="1775" spans="1:1" x14ac:dyDescent="0.25">
      <c r="A1775" t="s">
        <v>2094</v>
      </c>
    </row>
    <row r="1776" spans="1:1" x14ac:dyDescent="0.25">
      <c r="A1776" t="s">
        <v>2095</v>
      </c>
    </row>
    <row r="1777" spans="1:1" x14ac:dyDescent="0.25">
      <c r="A1777" t="s">
        <v>2096</v>
      </c>
    </row>
    <row r="1778" spans="1:1" x14ac:dyDescent="0.25">
      <c r="A1778" t="s">
        <v>2097</v>
      </c>
    </row>
    <row r="1779" spans="1:1" x14ac:dyDescent="0.25">
      <c r="A1779" t="s">
        <v>2098</v>
      </c>
    </row>
    <row r="1780" spans="1:1" x14ac:dyDescent="0.25">
      <c r="A1780" t="s">
        <v>2099</v>
      </c>
    </row>
    <row r="1781" spans="1:1" x14ac:dyDescent="0.25">
      <c r="A1781" t="s">
        <v>2100</v>
      </c>
    </row>
    <row r="1782" spans="1:1" x14ac:dyDescent="0.25">
      <c r="A1782" t="s">
        <v>2101</v>
      </c>
    </row>
    <row r="1783" spans="1:1" x14ac:dyDescent="0.25">
      <c r="A1783" t="s">
        <v>2102</v>
      </c>
    </row>
    <row r="1784" spans="1:1" x14ac:dyDescent="0.25">
      <c r="A1784" t="s">
        <v>2103</v>
      </c>
    </row>
    <row r="1785" spans="1:1" x14ac:dyDescent="0.25">
      <c r="A1785" t="s">
        <v>2104</v>
      </c>
    </row>
    <row r="1786" spans="1:1" x14ac:dyDescent="0.25">
      <c r="A1786" t="s">
        <v>2105</v>
      </c>
    </row>
    <row r="1787" spans="1:1" x14ac:dyDescent="0.25">
      <c r="A1787" t="s">
        <v>2106</v>
      </c>
    </row>
    <row r="1788" spans="1:1" x14ac:dyDescent="0.25">
      <c r="A1788" t="s">
        <v>2107</v>
      </c>
    </row>
    <row r="1789" spans="1:1" x14ac:dyDescent="0.25">
      <c r="A1789" t="s">
        <v>2108</v>
      </c>
    </row>
    <row r="1790" spans="1:1" x14ac:dyDescent="0.25">
      <c r="A1790" t="s">
        <v>2109</v>
      </c>
    </row>
    <row r="1791" spans="1:1" x14ac:dyDescent="0.25">
      <c r="A1791" t="s">
        <v>2110</v>
      </c>
    </row>
    <row r="1792" spans="1:1" x14ac:dyDescent="0.25">
      <c r="A1792" t="s">
        <v>2111</v>
      </c>
    </row>
    <row r="1793" spans="1:1" x14ac:dyDescent="0.25">
      <c r="A1793" t="s">
        <v>2112</v>
      </c>
    </row>
    <row r="1794" spans="1:1" x14ac:dyDescent="0.25">
      <c r="A1794" t="s">
        <v>2113</v>
      </c>
    </row>
    <row r="1795" spans="1:1" x14ac:dyDescent="0.25">
      <c r="A1795" t="s">
        <v>2114</v>
      </c>
    </row>
    <row r="1796" spans="1:1" x14ac:dyDescent="0.25">
      <c r="A1796" t="s">
        <v>2115</v>
      </c>
    </row>
    <row r="1797" spans="1:1" x14ac:dyDescent="0.25">
      <c r="A1797" t="s">
        <v>2116</v>
      </c>
    </row>
    <row r="1798" spans="1:1" x14ac:dyDescent="0.25">
      <c r="A1798" t="s">
        <v>2117</v>
      </c>
    </row>
    <row r="1799" spans="1:1" x14ac:dyDescent="0.25">
      <c r="A1799" t="s">
        <v>2118</v>
      </c>
    </row>
    <row r="1800" spans="1:1" x14ac:dyDescent="0.25">
      <c r="A1800" t="s">
        <v>2119</v>
      </c>
    </row>
    <row r="1801" spans="1:1" x14ac:dyDescent="0.25">
      <c r="A1801" t="s">
        <v>2120</v>
      </c>
    </row>
    <row r="1802" spans="1:1" x14ac:dyDescent="0.25">
      <c r="A1802" t="s">
        <v>2121</v>
      </c>
    </row>
    <row r="1803" spans="1:1" x14ac:dyDescent="0.25">
      <c r="A1803" t="s">
        <v>2122</v>
      </c>
    </row>
    <row r="1804" spans="1:1" x14ac:dyDescent="0.25">
      <c r="A1804" t="s">
        <v>2123</v>
      </c>
    </row>
    <row r="1805" spans="1:1" x14ac:dyDescent="0.25">
      <c r="A1805" t="s">
        <v>2124</v>
      </c>
    </row>
    <row r="1806" spans="1:1" x14ac:dyDescent="0.25">
      <c r="A1806" t="s">
        <v>2125</v>
      </c>
    </row>
    <row r="1807" spans="1:1" x14ac:dyDescent="0.25">
      <c r="A1807" t="s">
        <v>2126</v>
      </c>
    </row>
    <row r="1808" spans="1:1" x14ac:dyDescent="0.25">
      <c r="A1808" t="s">
        <v>2127</v>
      </c>
    </row>
    <row r="1809" spans="1:1" x14ac:dyDescent="0.25">
      <c r="A1809" t="s">
        <v>2128</v>
      </c>
    </row>
    <row r="1810" spans="1:1" x14ac:dyDescent="0.25">
      <c r="A1810" t="s">
        <v>2129</v>
      </c>
    </row>
    <row r="1811" spans="1:1" x14ac:dyDescent="0.25">
      <c r="A1811" t="s">
        <v>2130</v>
      </c>
    </row>
    <row r="1812" spans="1:1" x14ac:dyDescent="0.25">
      <c r="A1812" t="s">
        <v>2131</v>
      </c>
    </row>
    <row r="1813" spans="1:1" x14ac:dyDescent="0.25">
      <c r="A1813" t="s">
        <v>2132</v>
      </c>
    </row>
    <row r="1814" spans="1:1" x14ac:dyDescent="0.25">
      <c r="A1814" t="s">
        <v>2133</v>
      </c>
    </row>
    <row r="1815" spans="1:1" x14ac:dyDescent="0.25">
      <c r="A1815" t="s">
        <v>2134</v>
      </c>
    </row>
    <row r="1816" spans="1:1" x14ac:dyDescent="0.25">
      <c r="A1816" t="s">
        <v>2135</v>
      </c>
    </row>
    <row r="1817" spans="1:1" x14ac:dyDescent="0.25">
      <c r="A1817" t="s">
        <v>2136</v>
      </c>
    </row>
    <row r="1818" spans="1:1" x14ac:dyDescent="0.25">
      <c r="A1818" t="s">
        <v>2137</v>
      </c>
    </row>
    <row r="1819" spans="1:1" x14ac:dyDescent="0.25">
      <c r="A1819" t="s">
        <v>2138</v>
      </c>
    </row>
    <row r="1820" spans="1:1" x14ac:dyDescent="0.25">
      <c r="A1820" t="s">
        <v>2139</v>
      </c>
    </row>
    <row r="1821" spans="1:1" x14ac:dyDescent="0.25">
      <c r="A1821" t="s">
        <v>2140</v>
      </c>
    </row>
    <row r="1822" spans="1:1" x14ac:dyDescent="0.25">
      <c r="A1822" t="s">
        <v>2141</v>
      </c>
    </row>
    <row r="1823" spans="1:1" x14ac:dyDescent="0.25">
      <c r="A1823" t="s">
        <v>2142</v>
      </c>
    </row>
    <row r="1824" spans="1:1" x14ac:dyDescent="0.25">
      <c r="A1824" t="s">
        <v>2143</v>
      </c>
    </row>
    <row r="1825" spans="1:1" x14ac:dyDescent="0.25">
      <c r="A1825" t="s">
        <v>2144</v>
      </c>
    </row>
    <row r="1826" spans="1:1" x14ac:dyDescent="0.25">
      <c r="A1826" t="s">
        <v>2145</v>
      </c>
    </row>
    <row r="1827" spans="1:1" x14ac:dyDescent="0.25">
      <c r="A1827" t="s">
        <v>2146</v>
      </c>
    </row>
    <row r="1828" spans="1:1" x14ac:dyDescent="0.25">
      <c r="A1828" t="s">
        <v>2147</v>
      </c>
    </row>
    <row r="1829" spans="1:1" x14ac:dyDescent="0.25">
      <c r="A1829" t="s">
        <v>2148</v>
      </c>
    </row>
    <row r="1830" spans="1:1" x14ac:dyDescent="0.25">
      <c r="A1830" t="s">
        <v>2149</v>
      </c>
    </row>
    <row r="1831" spans="1:1" x14ac:dyDescent="0.25">
      <c r="A1831" t="s">
        <v>2150</v>
      </c>
    </row>
    <row r="1832" spans="1:1" x14ac:dyDescent="0.25">
      <c r="A1832" t="s">
        <v>2151</v>
      </c>
    </row>
    <row r="1833" spans="1:1" x14ac:dyDescent="0.25">
      <c r="A1833" t="s">
        <v>2152</v>
      </c>
    </row>
    <row r="1834" spans="1:1" x14ac:dyDescent="0.25">
      <c r="A1834" t="s">
        <v>2153</v>
      </c>
    </row>
    <row r="1835" spans="1:1" x14ac:dyDescent="0.25">
      <c r="A1835" t="s">
        <v>2154</v>
      </c>
    </row>
    <row r="1836" spans="1:1" x14ac:dyDescent="0.25">
      <c r="A1836" t="s">
        <v>2155</v>
      </c>
    </row>
    <row r="1837" spans="1:1" x14ac:dyDescent="0.25">
      <c r="A1837" t="s">
        <v>2156</v>
      </c>
    </row>
    <row r="1838" spans="1:1" x14ac:dyDescent="0.25">
      <c r="A1838" t="s">
        <v>2157</v>
      </c>
    </row>
    <row r="1839" spans="1:1" x14ac:dyDescent="0.25">
      <c r="A1839" t="s">
        <v>2158</v>
      </c>
    </row>
    <row r="1840" spans="1:1" x14ac:dyDescent="0.25">
      <c r="A1840" t="s">
        <v>2159</v>
      </c>
    </row>
    <row r="1841" spans="1:1" x14ac:dyDescent="0.25">
      <c r="A1841" t="s">
        <v>2160</v>
      </c>
    </row>
    <row r="1842" spans="1:1" x14ac:dyDescent="0.25">
      <c r="A1842" t="s">
        <v>2161</v>
      </c>
    </row>
    <row r="1843" spans="1:1" x14ac:dyDescent="0.25">
      <c r="A1843" t="s">
        <v>2162</v>
      </c>
    </row>
    <row r="1844" spans="1:1" x14ac:dyDescent="0.25">
      <c r="A1844" t="s">
        <v>2163</v>
      </c>
    </row>
    <row r="1845" spans="1:1" x14ac:dyDescent="0.25">
      <c r="A1845" t="s">
        <v>2164</v>
      </c>
    </row>
    <row r="1846" spans="1:1" x14ac:dyDescent="0.25">
      <c r="A1846" t="s">
        <v>2165</v>
      </c>
    </row>
    <row r="1847" spans="1:1" x14ac:dyDescent="0.25">
      <c r="A1847" t="s">
        <v>2166</v>
      </c>
    </row>
    <row r="1848" spans="1:1" x14ac:dyDescent="0.25">
      <c r="A1848" t="s">
        <v>2167</v>
      </c>
    </row>
    <row r="1849" spans="1:1" x14ac:dyDescent="0.25">
      <c r="A1849" t="s">
        <v>2168</v>
      </c>
    </row>
    <row r="1850" spans="1:1" x14ac:dyDescent="0.25">
      <c r="A1850" t="s">
        <v>2169</v>
      </c>
    </row>
    <row r="1851" spans="1:1" x14ac:dyDescent="0.25">
      <c r="A1851" t="s">
        <v>2170</v>
      </c>
    </row>
    <row r="1852" spans="1:1" x14ac:dyDescent="0.25">
      <c r="A1852" t="s">
        <v>2171</v>
      </c>
    </row>
    <row r="1853" spans="1:1" x14ac:dyDescent="0.25">
      <c r="A1853" t="s">
        <v>2172</v>
      </c>
    </row>
    <row r="1854" spans="1:1" x14ac:dyDescent="0.25">
      <c r="A1854" t="s">
        <v>2173</v>
      </c>
    </row>
    <row r="1855" spans="1:1" x14ac:dyDescent="0.25">
      <c r="A1855" t="s">
        <v>2174</v>
      </c>
    </row>
    <row r="1856" spans="1:1" x14ac:dyDescent="0.25">
      <c r="A1856" t="s">
        <v>2175</v>
      </c>
    </row>
    <row r="1857" spans="1:1" x14ac:dyDescent="0.25">
      <c r="A1857" t="s">
        <v>2176</v>
      </c>
    </row>
    <row r="1858" spans="1:1" x14ac:dyDescent="0.25">
      <c r="A1858" t="s">
        <v>2177</v>
      </c>
    </row>
    <row r="1859" spans="1:1" x14ac:dyDescent="0.25">
      <c r="A1859" t="s">
        <v>2178</v>
      </c>
    </row>
    <row r="1860" spans="1:1" x14ac:dyDescent="0.25">
      <c r="A1860" t="s">
        <v>2179</v>
      </c>
    </row>
    <row r="1861" spans="1:1" x14ac:dyDescent="0.25">
      <c r="A1861" t="s">
        <v>2180</v>
      </c>
    </row>
    <row r="1862" spans="1:1" x14ac:dyDescent="0.25">
      <c r="A1862" t="s">
        <v>2181</v>
      </c>
    </row>
    <row r="1863" spans="1:1" x14ac:dyDescent="0.25">
      <c r="A1863" t="s">
        <v>2182</v>
      </c>
    </row>
    <row r="1864" spans="1:1" x14ac:dyDescent="0.25">
      <c r="A1864" t="s">
        <v>2183</v>
      </c>
    </row>
    <row r="1865" spans="1:1" x14ac:dyDescent="0.25">
      <c r="A1865" t="s">
        <v>2184</v>
      </c>
    </row>
    <row r="1866" spans="1:1" x14ac:dyDescent="0.25">
      <c r="A1866" t="s">
        <v>2185</v>
      </c>
    </row>
    <row r="1867" spans="1:1" x14ac:dyDescent="0.25">
      <c r="A1867" t="s">
        <v>2186</v>
      </c>
    </row>
    <row r="1868" spans="1:1" x14ac:dyDescent="0.25">
      <c r="A1868" t="s">
        <v>2187</v>
      </c>
    </row>
    <row r="1869" spans="1:1" x14ac:dyDescent="0.25">
      <c r="A1869" t="s">
        <v>2188</v>
      </c>
    </row>
    <row r="1870" spans="1:1" x14ac:dyDescent="0.25">
      <c r="A1870" t="s">
        <v>2189</v>
      </c>
    </row>
    <row r="1871" spans="1:1" x14ac:dyDescent="0.25">
      <c r="A1871" t="s">
        <v>2190</v>
      </c>
    </row>
    <row r="1872" spans="1:1" x14ac:dyDescent="0.25">
      <c r="A1872" t="s">
        <v>2191</v>
      </c>
    </row>
    <row r="1873" spans="1:1" x14ac:dyDescent="0.25">
      <c r="A1873" t="s">
        <v>2192</v>
      </c>
    </row>
    <row r="1874" spans="1:1" x14ac:dyDescent="0.25">
      <c r="A1874" t="s">
        <v>2193</v>
      </c>
    </row>
    <row r="1875" spans="1:1" x14ac:dyDescent="0.25">
      <c r="A1875" t="s">
        <v>2194</v>
      </c>
    </row>
    <row r="1876" spans="1:1" x14ac:dyDescent="0.25">
      <c r="A1876" t="s">
        <v>2195</v>
      </c>
    </row>
    <row r="1877" spans="1:1" x14ac:dyDescent="0.25">
      <c r="A1877" t="s">
        <v>2196</v>
      </c>
    </row>
    <row r="1878" spans="1:1" x14ac:dyDescent="0.25">
      <c r="A1878" t="s">
        <v>2197</v>
      </c>
    </row>
    <row r="1879" spans="1:1" x14ac:dyDescent="0.25">
      <c r="A1879" t="s">
        <v>2198</v>
      </c>
    </row>
    <row r="1880" spans="1:1" x14ac:dyDescent="0.25">
      <c r="A1880" t="s">
        <v>2199</v>
      </c>
    </row>
    <row r="1881" spans="1:1" x14ac:dyDescent="0.25">
      <c r="A1881" t="s">
        <v>2200</v>
      </c>
    </row>
    <row r="1882" spans="1:1" x14ac:dyDescent="0.25">
      <c r="A1882" t="s">
        <v>2201</v>
      </c>
    </row>
    <row r="1883" spans="1:1" x14ac:dyDescent="0.25">
      <c r="A1883" t="s">
        <v>2202</v>
      </c>
    </row>
    <row r="1884" spans="1:1" x14ac:dyDescent="0.25">
      <c r="A1884" t="s">
        <v>2203</v>
      </c>
    </row>
    <row r="1885" spans="1:1" x14ac:dyDescent="0.25">
      <c r="A1885" t="s">
        <v>2204</v>
      </c>
    </row>
    <row r="1886" spans="1:1" x14ac:dyDescent="0.25">
      <c r="A1886" t="s">
        <v>2205</v>
      </c>
    </row>
    <row r="1887" spans="1:1" x14ac:dyDescent="0.25">
      <c r="A1887" t="s">
        <v>2206</v>
      </c>
    </row>
    <row r="1888" spans="1:1" x14ac:dyDescent="0.25">
      <c r="A1888" t="s">
        <v>2207</v>
      </c>
    </row>
    <row r="1889" spans="1:1" x14ac:dyDescent="0.25">
      <c r="A1889" t="s">
        <v>2208</v>
      </c>
    </row>
    <row r="1890" spans="1:1" x14ac:dyDescent="0.25">
      <c r="A1890" t="s">
        <v>2209</v>
      </c>
    </row>
    <row r="1891" spans="1:1" x14ac:dyDescent="0.25">
      <c r="A1891" t="s">
        <v>2210</v>
      </c>
    </row>
    <row r="1892" spans="1:1" x14ac:dyDescent="0.25">
      <c r="A1892" t="s">
        <v>2211</v>
      </c>
    </row>
    <row r="1893" spans="1:1" x14ac:dyDescent="0.25">
      <c r="A1893" t="s">
        <v>2212</v>
      </c>
    </row>
    <row r="1894" spans="1:1" x14ac:dyDescent="0.25">
      <c r="A1894" t="s">
        <v>2213</v>
      </c>
    </row>
    <row r="1895" spans="1:1" x14ac:dyDescent="0.25">
      <c r="A1895" t="s">
        <v>2214</v>
      </c>
    </row>
    <row r="1896" spans="1:1" x14ac:dyDescent="0.25">
      <c r="A1896" t="s">
        <v>2215</v>
      </c>
    </row>
    <row r="1897" spans="1:1" x14ac:dyDescent="0.25">
      <c r="A1897" t="s">
        <v>2216</v>
      </c>
    </row>
    <row r="1898" spans="1:1" x14ac:dyDescent="0.25">
      <c r="A1898" t="s">
        <v>2217</v>
      </c>
    </row>
    <row r="1899" spans="1:1" x14ac:dyDescent="0.25">
      <c r="A1899" t="s">
        <v>2218</v>
      </c>
    </row>
    <row r="1900" spans="1:1" x14ac:dyDescent="0.25">
      <c r="A1900" t="s">
        <v>2219</v>
      </c>
    </row>
    <row r="1901" spans="1:1" x14ac:dyDescent="0.25">
      <c r="A1901" t="s">
        <v>2220</v>
      </c>
    </row>
    <row r="1902" spans="1:1" x14ac:dyDescent="0.25">
      <c r="A1902" t="s">
        <v>2221</v>
      </c>
    </row>
    <row r="1903" spans="1:1" x14ac:dyDescent="0.25">
      <c r="A1903" t="s">
        <v>2222</v>
      </c>
    </row>
    <row r="1904" spans="1:1" x14ac:dyDescent="0.25">
      <c r="A1904" t="s">
        <v>2223</v>
      </c>
    </row>
    <row r="1905" spans="1:1" x14ac:dyDescent="0.25">
      <c r="A1905" t="s">
        <v>2224</v>
      </c>
    </row>
    <row r="1906" spans="1:1" x14ac:dyDescent="0.25">
      <c r="A1906" t="s">
        <v>2225</v>
      </c>
    </row>
    <row r="1907" spans="1:1" x14ac:dyDescent="0.25">
      <c r="A1907" t="s">
        <v>2226</v>
      </c>
    </row>
    <row r="1908" spans="1:1" x14ac:dyDescent="0.25">
      <c r="A1908" t="s">
        <v>2227</v>
      </c>
    </row>
    <row r="1909" spans="1:1" x14ac:dyDescent="0.25">
      <c r="A1909" t="s">
        <v>2228</v>
      </c>
    </row>
    <row r="1910" spans="1:1" x14ac:dyDescent="0.25">
      <c r="A1910" t="s">
        <v>2229</v>
      </c>
    </row>
    <row r="1911" spans="1:1" x14ac:dyDescent="0.25">
      <c r="A1911" t="s">
        <v>2230</v>
      </c>
    </row>
    <row r="1912" spans="1:1" x14ac:dyDescent="0.25">
      <c r="A1912" t="s">
        <v>2231</v>
      </c>
    </row>
    <row r="1913" spans="1:1" x14ac:dyDescent="0.25">
      <c r="A1913" t="s">
        <v>2232</v>
      </c>
    </row>
    <row r="1914" spans="1:1" x14ac:dyDescent="0.25">
      <c r="A1914" t="s">
        <v>2233</v>
      </c>
    </row>
    <row r="1915" spans="1:1" x14ac:dyDescent="0.25">
      <c r="A1915" t="s">
        <v>2234</v>
      </c>
    </row>
    <row r="1916" spans="1:1" x14ac:dyDescent="0.25">
      <c r="A1916" t="s">
        <v>2235</v>
      </c>
    </row>
    <row r="1917" spans="1:1" x14ac:dyDescent="0.25">
      <c r="A1917" t="s">
        <v>2236</v>
      </c>
    </row>
    <row r="1918" spans="1:1" x14ac:dyDescent="0.25">
      <c r="A1918" t="s">
        <v>2237</v>
      </c>
    </row>
    <row r="1919" spans="1:1" x14ac:dyDescent="0.25">
      <c r="A1919" t="s">
        <v>2238</v>
      </c>
    </row>
    <row r="1920" spans="1:1" x14ac:dyDescent="0.25">
      <c r="A1920" t="s">
        <v>2239</v>
      </c>
    </row>
    <row r="1921" spans="1:1" x14ac:dyDescent="0.25">
      <c r="A1921" t="s">
        <v>2240</v>
      </c>
    </row>
    <row r="1922" spans="1:1" x14ac:dyDescent="0.25">
      <c r="A1922" t="s">
        <v>2241</v>
      </c>
    </row>
    <row r="1923" spans="1:1" x14ac:dyDescent="0.25">
      <c r="A1923" t="s">
        <v>2242</v>
      </c>
    </row>
    <row r="1924" spans="1:1" x14ac:dyDescent="0.25">
      <c r="A1924" t="s">
        <v>2243</v>
      </c>
    </row>
    <row r="1925" spans="1:1" x14ac:dyDescent="0.25">
      <c r="A1925" t="s">
        <v>2244</v>
      </c>
    </row>
    <row r="1926" spans="1:1" x14ac:dyDescent="0.25">
      <c r="A1926" t="s">
        <v>2245</v>
      </c>
    </row>
    <row r="1927" spans="1:1" x14ac:dyDescent="0.25">
      <c r="A1927" t="s">
        <v>2246</v>
      </c>
    </row>
    <row r="1928" spans="1:1" x14ac:dyDescent="0.25">
      <c r="A1928" t="s">
        <v>2247</v>
      </c>
    </row>
    <row r="1929" spans="1:1" x14ac:dyDescent="0.25">
      <c r="A1929" t="s">
        <v>2248</v>
      </c>
    </row>
    <row r="1930" spans="1:1" x14ac:dyDescent="0.25">
      <c r="A1930" t="s">
        <v>2249</v>
      </c>
    </row>
    <row r="1931" spans="1:1" x14ac:dyDescent="0.25">
      <c r="A1931" t="s">
        <v>2250</v>
      </c>
    </row>
    <row r="1932" spans="1:1" x14ac:dyDescent="0.25">
      <c r="A1932" t="s">
        <v>2251</v>
      </c>
    </row>
    <row r="1933" spans="1:1" x14ac:dyDescent="0.25">
      <c r="A1933" t="s">
        <v>2252</v>
      </c>
    </row>
    <row r="1934" spans="1:1" x14ac:dyDescent="0.25">
      <c r="A1934" t="s">
        <v>2253</v>
      </c>
    </row>
    <row r="1935" spans="1:1" x14ac:dyDescent="0.25">
      <c r="A1935" t="s">
        <v>2254</v>
      </c>
    </row>
    <row r="1936" spans="1:1" x14ac:dyDescent="0.25">
      <c r="A1936" t="s">
        <v>2255</v>
      </c>
    </row>
    <row r="1937" spans="1:1" x14ac:dyDescent="0.25">
      <c r="A1937" t="s">
        <v>2256</v>
      </c>
    </row>
    <row r="1938" spans="1:1" x14ac:dyDescent="0.25">
      <c r="A1938" t="s">
        <v>2257</v>
      </c>
    </row>
    <row r="1939" spans="1:1" x14ac:dyDescent="0.25">
      <c r="A1939" t="s">
        <v>2258</v>
      </c>
    </row>
    <row r="1940" spans="1:1" x14ac:dyDescent="0.25">
      <c r="A1940" t="s">
        <v>2259</v>
      </c>
    </row>
    <row r="1941" spans="1:1" x14ac:dyDescent="0.25">
      <c r="A1941" t="s">
        <v>2260</v>
      </c>
    </row>
    <row r="1942" spans="1:1" x14ac:dyDescent="0.25">
      <c r="A1942" t="s">
        <v>2261</v>
      </c>
    </row>
    <row r="1943" spans="1:1" x14ac:dyDescent="0.25">
      <c r="A1943" t="s">
        <v>2262</v>
      </c>
    </row>
    <row r="1944" spans="1:1" x14ac:dyDescent="0.25">
      <c r="A1944" t="s">
        <v>2263</v>
      </c>
    </row>
    <row r="1945" spans="1:1" x14ac:dyDescent="0.25">
      <c r="A1945" t="s">
        <v>2264</v>
      </c>
    </row>
    <row r="1946" spans="1:1" x14ac:dyDescent="0.25">
      <c r="A1946" t="s">
        <v>2265</v>
      </c>
    </row>
    <row r="1947" spans="1:1" x14ac:dyDescent="0.25">
      <c r="A1947" t="s">
        <v>2266</v>
      </c>
    </row>
    <row r="1948" spans="1:1" x14ac:dyDescent="0.25">
      <c r="A1948" t="s">
        <v>2267</v>
      </c>
    </row>
    <row r="1949" spans="1:1" x14ac:dyDescent="0.25">
      <c r="A1949" t="s">
        <v>2268</v>
      </c>
    </row>
    <row r="1950" spans="1:1" x14ac:dyDescent="0.25">
      <c r="A1950" t="s">
        <v>2269</v>
      </c>
    </row>
    <row r="1951" spans="1:1" x14ac:dyDescent="0.25">
      <c r="A1951" t="s">
        <v>2270</v>
      </c>
    </row>
    <row r="1952" spans="1:1" x14ac:dyDescent="0.25">
      <c r="A1952" t="s">
        <v>2271</v>
      </c>
    </row>
    <row r="1953" spans="1:1" x14ac:dyDescent="0.25">
      <c r="A1953" t="s">
        <v>2272</v>
      </c>
    </row>
    <row r="1954" spans="1:1" x14ac:dyDescent="0.25">
      <c r="A1954" t="s">
        <v>2273</v>
      </c>
    </row>
    <row r="1955" spans="1:1" x14ac:dyDescent="0.25">
      <c r="A1955" t="s">
        <v>2274</v>
      </c>
    </row>
    <row r="1956" spans="1:1" x14ac:dyDescent="0.25">
      <c r="A1956" t="s">
        <v>2275</v>
      </c>
    </row>
    <row r="1957" spans="1:1" x14ac:dyDescent="0.25">
      <c r="A1957" t="s">
        <v>2276</v>
      </c>
    </row>
    <row r="1958" spans="1:1" x14ac:dyDescent="0.25">
      <c r="A1958" t="s">
        <v>2277</v>
      </c>
    </row>
    <row r="1959" spans="1:1" x14ac:dyDescent="0.25">
      <c r="A1959" t="s">
        <v>2278</v>
      </c>
    </row>
    <row r="1960" spans="1:1" x14ac:dyDescent="0.25">
      <c r="A1960" t="s">
        <v>2279</v>
      </c>
    </row>
    <row r="1961" spans="1:1" x14ac:dyDescent="0.25">
      <c r="A1961" t="s">
        <v>2280</v>
      </c>
    </row>
    <row r="1962" spans="1:1" x14ac:dyDescent="0.25">
      <c r="A1962" t="s">
        <v>2281</v>
      </c>
    </row>
    <row r="1963" spans="1:1" x14ac:dyDescent="0.25">
      <c r="A1963" t="s">
        <v>2282</v>
      </c>
    </row>
    <row r="1964" spans="1:1" x14ac:dyDescent="0.25">
      <c r="A1964" t="s">
        <v>2283</v>
      </c>
    </row>
    <row r="1965" spans="1:1" x14ac:dyDescent="0.25">
      <c r="A1965" t="s">
        <v>2284</v>
      </c>
    </row>
    <row r="1966" spans="1:1" x14ac:dyDescent="0.25">
      <c r="A1966" t="s">
        <v>2285</v>
      </c>
    </row>
    <row r="1967" spans="1:1" x14ac:dyDescent="0.25">
      <c r="A1967" t="s">
        <v>2286</v>
      </c>
    </row>
    <row r="1968" spans="1:1" x14ac:dyDescent="0.25">
      <c r="A1968" t="s">
        <v>2287</v>
      </c>
    </row>
    <row r="1969" spans="1:1" x14ac:dyDescent="0.25">
      <c r="A1969" t="s">
        <v>2288</v>
      </c>
    </row>
    <row r="1970" spans="1:1" x14ac:dyDescent="0.25">
      <c r="A1970" t="s">
        <v>2289</v>
      </c>
    </row>
    <row r="1971" spans="1:1" x14ac:dyDescent="0.25">
      <c r="A1971" t="s">
        <v>2290</v>
      </c>
    </row>
    <row r="1972" spans="1:1" x14ac:dyDescent="0.25">
      <c r="A1972" t="s">
        <v>2291</v>
      </c>
    </row>
    <row r="1973" spans="1:1" x14ac:dyDescent="0.25">
      <c r="A1973" t="s">
        <v>2292</v>
      </c>
    </row>
    <row r="1974" spans="1:1" x14ac:dyDescent="0.25">
      <c r="A1974" t="s">
        <v>2293</v>
      </c>
    </row>
    <row r="1975" spans="1:1" x14ac:dyDescent="0.25">
      <c r="A1975" t="s">
        <v>2294</v>
      </c>
    </row>
    <row r="1976" spans="1:1" x14ac:dyDescent="0.25">
      <c r="A1976" t="s">
        <v>2295</v>
      </c>
    </row>
    <row r="1977" spans="1:1" x14ac:dyDescent="0.25">
      <c r="A1977" t="s">
        <v>2296</v>
      </c>
    </row>
    <row r="1978" spans="1:1" x14ac:dyDescent="0.25">
      <c r="A1978" t="s">
        <v>2297</v>
      </c>
    </row>
    <row r="1979" spans="1:1" x14ac:dyDescent="0.25">
      <c r="A1979" t="s">
        <v>2298</v>
      </c>
    </row>
    <row r="1980" spans="1:1" x14ac:dyDescent="0.25">
      <c r="A1980" t="s">
        <v>2299</v>
      </c>
    </row>
    <row r="1981" spans="1:1" x14ac:dyDescent="0.25">
      <c r="A1981" t="s">
        <v>2300</v>
      </c>
    </row>
    <row r="1982" spans="1:1" x14ac:dyDescent="0.25">
      <c r="A1982" t="s">
        <v>2301</v>
      </c>
    </row>
    <row r="1983" spans="1:1" x14ac:dyDescent="0.25">
      <c r="A1983" t="s">
        <v>2302</v>
      </c>
    </row>
    <row r="1984" spans="1:1" x14ac:dyDescent="0.25">
      <c r="A1984" t="s">
        <v>2303</v>
      </c>
    </row>
    <row r="1985" spans="1:1" x14ac:dyDescent="0.25">
      <c r="A1985" t="s">
        <v>2304</v>
      </c>
    </row>
    <row r="1986" spans="1:1" x14ac:dyDescent="0.25">
      <c r="A1986" t="s">
        <v>2305</v>
      </c>
    </row>
    <row r="1987" spans="1:1" x14ac:dyDescent="0.25">
      <c r="A1987" t="s">
        <v>2306</v>
      </c>
    </row>
    <row r="1988" spans="1:1" x14ac:dyDescent="0.25">
      <c r="A1988" t="s">
        <v>2307</v>
      </c>
    </row>
    <row r="1989" spans="1:1" x14ac:dyDescent="0.25">
      <c r="A1989" t="s">
        <v>2308</v>
      </c>
    </row>
    <row r="1990" spans="1:1" x14ac:dyDescent="0.25">
      <c r="A1990" t="s">
        <v>2309</v>
      </c>
    </row>
    <row r="1991" spans="1:1" x14ac:dyDescent="0.25">
      <c r="A1991" t="s">
        <v>2310</v>
      </c>
    </row>
    <row r="1992" spans="1:1" x14ac:dyDescent="0.25">
      <c r="A1992" t="s">
        <v>2311</v>
      </c>
    </row>
    <row r="1993" spans="1:1" x14ac:dyDescent="0.25">
      <c r="A1993" t="s">
        <v>2312</v>
      </c>
    </row>
    <row r="1994" spans="1:1" x14ac:dyDescent="0.25">
      <c r="A1994" t="s">
        <v>2313</v>
      </c>
    </row>
    <row r="1995" spans="1:1" x14ac:dyDescent="0.25">
      <c r="A1995" t="s">
        <v>2314</v>
      </c>
    </row>
    <row r="1996" spans="1:1" x14ac:dyDescent="0.25">
      <c r="A1996" t="s">
        <v>2315</v>
      </c>
    </row>
    <row r="1997" spans="1:1" x14ac:dyDescent="0.25">
      <c r="A1997" t="s">
        <v>2316</v>
      </c>
    </row>
    <row r="1998" spans="1:1" x14ac:dyDescent="0.25">
      <c r="A1998" t="s">
        <v>2317</v>
      </c>
    </row>
    <row r="1999" spans="1:1" x14ac:dyDescent="0.25">
      <c r="A1999" t="s">
        <v>2318</v>
      </c>
    </row>
    <row r="2000" spans="1:1" x14ac:dyDescent="0.25">
      <c r="A2000" t="s">
        <v>2319</v>
      </c>
    </row>
    <row r="2001" spans="1:1" x14ac:dyDescent="0.25">
      <c r="A2001" t="s">
        <v>2320</v>
      </c>
    </row>
    <row r="2002" spans="1:1" x14ac:dyDescent="0.25">
      <c r="A2002" t="s">
        <v>2321</v>
      </c>
    </row>
    <row r="2003" spans="1:1" x14ac:dyDescent="0.25">
      <c r="A2003" t="s">
        <v>2322</v>
      </c>
    </row>
    <row r="2004" spans="1:1" x14ac:dyDescent="0.25">
      <c r="A2004" t="s">
        <v>2323</v>
      </c>
    </row>
    <row r="2005" spans="1:1" x14ac:dyDescent="0.25">
      <c r="A2005" t="s">
        <v>2324</v>
      </c>
    </row>
    <row r="2006" spans="1:1" x14ac:dyDescent="0.25">
      <c r="A2006" t="s">
        <v>2325</v>
      </c>
    </row>
    <row r="2007" spans="1:1" x14ac:dyDescent="0.25">
      <c r="A2007" t="s">
        <v>2326</v>
      </c>
    </row>
    <row r="2008" spans="1:1" x14ac:dyDescent="0.25">
      <c r="A2008" t="s">
        <v>2327</v>
      </c>
    </row>
    <row r="2009" spans="1:1" x14ac:dyDescent="0.25">
      <c r="A2009" t="s">
        <v>2328</v>
      </c>
    </row>
    <row r="2010" spans="1:1" x14ac:dyDescent="0.25">
      <c r="A2010" t="s">
        <v>2329</v>
      </c>
    </row>
    <row r="2011" spans="1:1" x14ac:dyDescent="0.25">
      <c r="A2011" t="s">
        <v>2330</v>
      </c>
    </row>
    <row r="2012" spans="1:1" x14ac:dyDescent="0.25">
      <c r="A2012" t="s">
        <v>2331</v>
      </c>
    </row>
    <row r="2013" spans="1:1" x14ac:dyDescent="0.25">
      <c r="A2013" t="s">
        <v>2332</v>
      </c>
    </row>
    <row r="2014" spans="1:1" x14ac:dyDescent="0.25">
      <c r="A2014" t="s">
        <v>2333</v>
      </c>
    </row>
    <row r="2015" spans="1:1" x14ac:dyDescent="0.25">
      <c r="A2015" t="s">
        <v>2334</v>
      </c>
    </row>
    <row r="2016" spans="1:1" x14ac:dyDescent="0.25">
      <c r="A2016" t="s">
        <v>2335</v>
      </c>
    </row>
    <row r="2017" spans="1:1" x14ac:dyDescent="0.25">
      <c r="A2017" t="s">
        <v>2336</v>
      </c>
    </row>
    <row r="2018" spans="1:1" x14ac:dyDescent="0.25">
      <c r="A2018" t="s">
        <v>2337</v>
      </c>
    </row>
    <row r="2019" spans="1:1" x14ac:dyDescent="0.25">
      <c r="A2019" t="s">
        <v>2338</v>
      </c>
    </row>
    <row r="2020" spans="1:1" x14ac:dyDescent="0.25">
      <c r="A2020" t="s">
        <v>2339</v>
      </c>
    </row>
    <row r="2021" spans="1:1" x14ac:dyDescent="0.25">
      <c r="A2021" t="s">
        <v>2340</v>
      </c>
    </row>
    <row r="2022" spans="1:1" x14ac:dyDescent="0.25">
      <c r="A2022" t="s">
        <v>2341</v>
      </c>
    </row>
    <row r="2023" spans="1:1" x14ac:dyDescent="0.25">
      <c r="A2023" t="s">
        <v>2342</v>
      </c>
    </row>
    <row r="2024" spans="1:1" x14ac:dyDescent="0.25">
      <c r="A2024" t="s">
        <v>2343</v>
      </c>
    </row>
    <row r="2025" spans="1:1" x14ac:dyDescent="0.25">
      <c r="A2025" t="s">
        <v>2344</v>
      </c>
    </row>
    <row r="2026" spans="1:1" x14ac:dyDescent="0.25">
      <c r="A2026" t="s">
        <v>2345</v>
      </c>
    </row>
    <row r="2027" spans="1:1" x14ac:dyDescent="0.25">
      <c r="A2027" t="s">
        <v>2346</v>
      </c>
    </row>
    <row r="2028" spans="1:1" x14ac:dyDescent="0.25">
      <c r="A2028" t="s">
        <v>2347</v>
      </c>
    </row>
    <row r="2029" spans="1:1" x14ac:dyDescent="0.25">
      <c r="A2029" t="s">
        <v>2348</v>
      </c>
    </row>
    <row r="2030" spans="1:1" x14ac:dyDescent="0.25">
      <c r="A2030" t="s">
        <v>2349</v>
      </c>
    </row>
    <row r="2031" spans="1:1" x14ac:dyDescent="0.25">
      <c r="A2031" t="s">
        <v>2350</v>
      </c>
    </row>
    <row r="2032" spans="1:1" x14ac:dyDescent="0.25">
      <c r="A2032" t="s">
        <v>2351</v>
      </c>
    </row>
    <row r="2033" spans="1:1" x14ac:dyDescent="0.25">
      <c r="A2033" t="s">
        <v>2352</v>
      </c>
    </row>
    <row r="2034" spans="1:1" x14ac:dyDescent="0.25">
      <c r="A2034" t="s">
        <v>2353</v>
      </c>
    </row>
    <row r="2035" spans="1:1" x14ac:dyDescent="0.25">
      <c r="A2035" t="s">
        <v>2354</v>
      </c>
    </row>
    <row r="2036" spans="1:1" x14ac:dyDescent="0.25">
      <c r="A2036" t="s">
        <v>2355</v>
      </c>
    </row>
    <row r="2037" spans="1:1" x14ac:dyDescent="0.25">
      <c r="A2037" t="s">
        <v>2356</v>
      </c>
    </row>
    <row r="2038" spans="1:1" x14ac:dyDescent="0.25">
      <c r="A2038" t="s">
        <v>2357</v>
      </c>
    </row>
    <row r="2039" spans="1:1" x14ac:dyDescent="0.25">
      <c r="A2039" t="s">
        <v>2358</v>
      </c>
    </row>
    <row r="2040" spans="1:1" x14ac:dyDescent="0.25">
      <c r="A2040" t="s">
        <v>2359</v>
      </c>
    </row>
    <row r="2041" spans="1:1" x14ac:dyDescent="0.25">
      <c r="A2041" t="s">
        <v>2360</v>
      </c>
    </row>
    <row r="2042" spans="1:1" x14ac:dyDescent="0.25">
      <c r="A2042" t="s">
        <v>2361</v>
      </c>
    </row>
    <row r="2043" spans="1:1" x14ac:dyDescent="0.25">
      <c r="A2043" t="s">
        <v>2362</v>
      </c>
    </row>
    <row r="2044" spans="1:1" x14ac:dyDescent="0.25">
      <c r="A2044" t="s">
        <v>2363</v>
      </c>
    </row>
    <row r="2045" spans="1:1" x14ac:dyDescent="0.25">
      <c r="A2045" t="s">
        <v>2364</v>
      </c>
    </row>
    <row r="2046" spans="1:1" x14ac:dyDescent="0.25">
      <c r="A2046" t="s">
        <v>2365</v>
      </c>
    </row>
    <row r="2047" spans="1:1" x14ac:dyDescent="0.25">
      <c r="A2047" t="s">
        <v>2366</v>
      </c>
    </row>
    <row r="2048" spans="1:1" x14ac:dyDescent="0.25">
      <c r="A2048" t="s">
        <v>2367</v>
      </c>
    </row>
    <row r="2049" spans="1:1" x14ac:dyDescent="0.25">
      <c r="A2049" t="s">
        <v>2368</v>
      </c>
    </row>
    <row r="2050" spans="1:1" x14ac:dyDescent="0.25">
      <c r="A2050" t="s">
        <v>2369</v>
      </c>
    </row>
    <row r="2051" spans="1:1" x14ac:dyDescent="0.25">
      <c r="A2051" t="s">
        <v>2370</v>
      </c>
    </row>
    <row r="2052" spans="1:1" x14ac:dyDescent="0.25">
      <c r="A2052" t="s">
        <v>2371</v>
      </c>
    </row>
    <row r="2053" spans="1:1" x14ac:dyDescent="0.25">
      <c r="A2053" t="s">
        <v>2372</v>
      </c>
    </row>
    <row r="2054" spans="1:1" x14ac:dyDescent="0.25">
      <c r="A2054" t="s">
        <v>2373</v>
      </c>
    </row>
    <row r="2055" spans="1:1" x14ac:dyDescent="0.25">
      <c r="A2055" t="s">
        <v>2374</v>
      </c>
    </row>
    <row r="2056" spans="1:1" x14ac:dyDescent="0.25">
      <c r="A2056" t="s">
        <v>2375</v>
      </c>
    </row>
    <row r="2057" spans="1:1" x14ac:dyDescent="0.25">
      <c r="A2057" t="s">
        <v>2376</v>
      </c>
    </row>
    <row r="2058" spans="1:1" x14ac:dyDescent="0.25">
      <c r="A2058" t="s">
        <v>2377</v>
      </c>
    </row>
    <row r="2059" spans="1:1" x14ac:dyDescent="0.25">
      <c r="A2059" t="s">
        <v>2378</v>
      </c>
    </row>
    <row r="2060" spans="1:1" x14ac:dyDescent="0.25">
      <c r="A2060" t="s">
        <v>2379</v>
      </c>
    </row>
    <row r="2061" spans="1:1" x14ac:dyDescent="0.25">
      <c r="A2061" t="s">
        <v>2380</v>
      </c>
    </row>
    <row r="2062" spans="1:1" x14ac:dyDescent="0.25">
      <c r="A2062" t="s">
        <v>2381</v>
      </c>
    </row>
    <row r="2063" spans="1:1" x14ac:dyDescent="0.25">
      <c r="A2063" t="s">
        <v>2382</v>
      </c>
    </row>
    <row r="2064" spans="1:1" x14ac:dyDescent="0.25">
      <c r="A2064" t="s">
        <v>2383</v>
      </c>
    </row>
    <row r="2065" spans="1:1" x14ac:dyDescent="0.25">
      <c r="A2065" t="s">
        <v>2384</v>
      </c>
    </row>
    <row r="2066" spans="1:1" x14ac:dyDescent="0.25">
      <c r="A2066" t="s">
        <v>2385</v>
      </c>
    </row>
    <row r="2067" spans="1:1" x14ac:dyDescent="0.25">
      <c r="A2067" t="s">
        <v>2386</v>
      </c>
    </row>
    <row r="2068" spans="1:1" x14ac:dyDescent="0.25">
      <c r="A2068" t="s">
        <v>2387</v>
      </c>
    </row>
    <row r="2069" spans="1:1" x14ac:dyDescent="0.25">
      <c r="A2069" t="s">
        <v>2388</v>
      </c>
    </row>
    <row r="2070" spans="1:1" x14ac:dyDescent="0.25">
      <c r="A2070" t="s">
        <v>2389</v>
      </c>
    </row>
    <row r="2071" spans="1:1" x14ac:dyDescent="0.25">
      <c r="A2071" t="s">
        <v>2390</v>
      </c>
    </row>
    <row r="2072" spans="1:1" x14ac:dyDescent="0.25">
      <c r="A2072" t="s">
        <v>2391</v>
      </c>
    </row>
    <row r="2073" spans="1:1" x14ac:dyDescent="0.25">
      <c r="A2073" t="s">
        <v>2392</v>
      </c>
    </row>
    <row r="2074" spans="1:1" x14ac:dyDescent="0.25">
      <c r="A2074" t="s">
        <v>2393</v>
      </c>
    </row>
    <row r="2075" spans="1:1" x14ac:dyDescent="0.25">
      <c r="A2075" t="s">
        <v>2394</v>
      </c>
    </row>
    <row r="2076" spans="1:1" x14ac:dyDescent="0.25">
      <c r="A2076" t="s">
        <v>2395</v>
      </c>
    </row>
    <row r="2077" spans="1:1" x14ac:dyDescent="0.25">
      <c r="A2077" t="s">
        <v>2396</v>
      </c>
    </row>
    <row r="2078" spans="1:1" x14ac:dyDescent="0.25">
      <c r="A2078" t="s">
        <v>2397</v>
      </c>
    </row>
    <row r="2079" spans="1:1" x14ac:dyDescent="0.25">
      <c r="A2079" t="s">
        <v>2398</v>
      </c>
    </row>
    <row r="2080" spans="1:1" x14ac:dyDescent="0.25">
      <c r="A2080" t="s">
        <v>2399</v>
      </c>
    </row>
    <row r="2081" spans="1:1" x14ac:dyDescent="0.25">
      <c r="A2081" t="s">
        <v>2400</v>
      </c>
    </row>
    <row r="2082" spans="1:1" x14ac:dyDescent="0.25">
      <c r="A2082" t="s">
        <v>2401</v>
      </c>
    </row>
    <row r="2083" spans="1:1" x14ac:dyDescent="0.25">
      <c r="A2083" t="s">
        <v>2402</v>
      </c>
    </row>
    <row r="2084" spans="1:1" x14ac:dyDescent="0.25">
      <c r="A2084" t="s">
        <v>2403</v>
      </c>
    </row>
    <row r="2085" spans="1:1" x14ac:dyDescent="0.25">
      <c r="A2085" t="s">
        <v>2404</v>
      </c>
    </row>
    <row r="2086" spans="1:1" x14ac:dyDescent="0.25">
      <c r="A2086" t="s">
        <v>2405</v>
      </c>
    </row>
    <row r="2087" spans="1:1" x14ac:dyDescent="0.25">
      <c r="A2087" t="s">
        <v>2406</v>
      </c>
    </row>
    <row r="2088" spans="1:1" x14ac:dyDescent="0.25">
      <c r="A2088" t="s">
        <v>2407</v>
      </c>
    </row>
    <row r="2089" spans="1:1" x14ac:dyDescent="0.25">
      <c r="A2089" t="s">
        <v>2408</v>
      </c>
    </row>
    <row r="2090" spans="1:1" x14ac:dyDescent="0.25">
      <c r="A2090" t="s">
        <v>2409</v>
      </c>
    </row>
    <row r="2091" spans="1:1" x14ac:dyDescent="0.25">
      <c r="A2091" t="s">
        <v>2410</v>
      </c>
    </row>
    <row r="2092" spans="1:1" x14ac:dyDescent="0.25">
      <c r="A2092" t="s">
        <v>2411</v>
      </c>
    </row>
    <row r="2093" spans="1:1" x14ac:dyDescent="0.25">
      <c r="A2093" t="s">
        <v>2412</v>
      </c>
    </row>
    <row r="2094" spans="1:1" x14ac:dyDescent="0.25">
      <c r="A2094" t="s">
        <v>2413</v>
      </c>
    </row>
    <row r="2095" spans="1:1" x14ac:dyDescent="0.25">
      <c r="A2095" t="s">
        <v>2414</v>
      </c>
    </row>
    <row r="2096" spans="1:1" x14ac:dyDescent="0.25">
      <c r="A2096" t="s">
        <v>2415</v>
      </c>
    </row>
    <row r="2097" spans="1:1" x14ac:dyDescent="0.25">
      <c r="A2097" t="s">
        <v>2416</v>
      </c>
    </row>
    <row r="2098" spans="1:1" x14ac:dyDescent="0.25">
      <c r="A2098" t="s">
        <v>2417</v>
      </c>
    </row>
    <row r="2099" spans="1:1" x14ac:dyDescent="0.25">
      <c r="A2099" t="s">
        <v>2418</v>
      </c>
    </row>
    <row r="2100" spans="1:1" x14ac:dyDescent="0.25">
      <c r="A2100" t="s">
        <v>2419</v>
      </c>
    </row>
    <row r="2101" spans="1:1" x14ac:dyDescent="0.25">
      <c r="A2101" t="s">
        <v>2420</v>
      </c>
    </row>
    <row r="2102" spans="1:1" x14ac:dyDescent="0.25">
      <c r="A2102" t="s">
        <v>2421</v>
      </c>
    </row>
    <row r="2103" spans="1:1" x14ac:dyDescent="0.25">
      <c r="A2103" t="s">
        <v>2422</v>
      </c>
    </row>
    <row r="2104" spans="1:1" x14ac:dyDescent="0.25">
      <c r="A2104" t="s">
        <v>2423</v>
      </c>
    </row>
    <row r="2105" spans="1:1" x14ac:dyDescent="0.25">
      <c r="A2105" t="s">
        <v>2424</v>
      </c>
    </row>
    <row r="2106" spans="1:1" x14ac:dyDescent="0.25">
      <c r="A2106" t="s">
        <v>2425</v>
      </c>
    </row>
    <row r="2107" spans="1:1" x14ac:dyDescent="0.25">
      <c r="A2107" t="s">
        <v>2426</v>
      </c>
    </row>
    <row r="2108" spans="1:1" x14ac:dyDescent="0.25">
      <c r="A2108" t="s">
        <v>2427</v>
      </c>
    </row>
    <row r="2109" spans="1:1" x14ac:dyDescent="0.25">
      <c r="A2109" t="s">
        <v>2428</v>
      </c>
    </row>
    <row r="2110" spans="1:1" x14ac:dyDescent="0.25">
      <c r="A2110" t="s">
        <v>2429</v>
      </c>
    </row>
    <row r="2111" spans="1:1" x14ac:dyDescent="0.25">
      <c r="A2111" t="s">
        <v>2430</v>
      </c>
    </row>
    <row r="2112" spans="1:1" x14ac:dyDescent="0.25">
      <c r="A2112" t="s">
        <v>2431</v>
      </c>
    </row>
    <row r="2113" spans="1:1" x14ac:dyDescent="0.25">
      <c r="A2113" t="s">
        <v>2432</v>
      </c>
    </row>
    <row r="2114" spans="1:1" x14ac:dyDescent="0.25">
      <c r="A2114" t="s">
        <v>2433</v>
      </c>
    </row>
    <row r="2115" spans="1:1" x14ac:dyDescent="0.25">
      <c r="A2115" t="s">
        <v>2434</v>
      </c>
    </row>
    <row r="2116" spans="1:1" x14ac:dyDescent="0.25">
      <c r="A2116" t="s">
        <v>2435</v>
      </c>
    </row>
    <row r="2117" spans="1:1" x14ac:dyDescent="0.25">
      <c r="A2117" t="s">
        <v>2436</v>
      </c>
    </row>
    <row r="2118" spans="1:1" x14ac:dyDescent="0.25">
      <c r="A2118" t="s">
        <v>2437</v>
      </c>
    </row>
    <row r="2119" spans="1:1" x14ac:dyDescent="0.25">
      <c r="A2119" t="s">
        <v>2438</v>
      </c>
    </row>
    <row r="2120" spans="1:1" x14ac:dyDescent="0.25">
      <c r="A2120" t="s">
        <v>2439</v>
      </c>
    </row>
    <row r="2121" spans="1:1" x14ac:dyDescent="0.25">
      <c r="A2121" t="s">
        <v>2440</v>
      </c>
    </row>
    <row r="2122" spans="1:1" x14ac:dyDescent="0.25">
      <c r="A2122" t="s">
        <v>2441</v>
      </c>
    </row>
    <row r="2123" spans="1:1" x14ac:dyDescent="0.25">
      <c r="A2123" t="s">
        <v>2442</v>
      </c>
    </row>
    <row r="2124" spans="1:1" x14ac:dyDescent="0.25">
      <c r="A2124" t="s">
        <v>2443</v>
      </c>
    </row>
    <row r="2125" spans="1:1" x14ac:dyDescent="0.25">
      <c r="A2125" t="s">
        <v>2444</v>
      </c>
    </row>
    <row r="2126" spans="1:1" x14ac:dyDescent="0.25">
      <c r="A2126" t="s">
        <v>2445</v>
      </c>
    </row>
    <row r="2127" spans="1:1" x14ac:dyDescent="0.25">
      <c r="A2127" t="s">
        <v>2446</v>
      </c>
    </row>
    <row r="2128" spans="1:1" x14ac:dyDescent="0.25">
      <c r="A2128" t="s">
        <v>2447</v>
      </c>
    </row>
    <row r="2129" spans="1:1" x14ac:dyDescent="0.25">
      <c r="A2129" t="s">
        <v>2448</v>
      </c>
    </row>
    <row r="2130" spans="1:1" x14ac:dyDescent="0.25">
      <c r="A2130" t="s">
        <v>2449</v>
      </c>
    </row>
    <row r="2131" spans="1:1" x14ac:dyDescent="0.25">
      <c r="A2131" t="s">
        <v>2450</v>
      </c>
    </row>
    <row r="2132" spans="1:1" x14ac:dyDescent="0.25">
      <c r="A2132" t="s">
        <v>2451</v>
      </c>
    </row>
    <row r="2133" spans="1:1" x14ac:dyDescent="0.25">
      <c r="A2133" t="s">
        <v>2452</v>
      </c>
    </row>
    <row r="2134" spans="1:1" x14ac:dyDescent="0.25">
      <c r="A2134" t="s">
        <v>2453</v>
      </c>
    </row>
    <row r="2135" spans="1:1" x14ac:dyDescent="0.25">
      <c r="A2135" t="s">
        <v>2454</v>
      </c>
    </row>
    <row r="2136" spans="1:1" x14ac:dyDescent="0.25">
      <c r="A2136" t="s">
        <v>2455</v>
      </c>
    </row>
    <row r="2137" spans="1:1" x14ac:dyDescent="0.25">
      <c r="A2137" t="s">
        <v>2456</v>
      </c>
    </row>
    <row r="2138" spans="1:1" x14ac:dyDescent="0.25">
      <c r="A2138" t="s">
        <v>2457</v>
      </c>
    </row>
    <row r="2139" spans="1:1" x14ac:dyDescent="0.25">
      <c r="A2139" t="s">
        <v>2458</v>
      </c>
    </row>
    <row r="2140" spans="1:1" x14ac:dyDescent="0.25">
      <c r="A2140" t="s">
        <v>2459</v>
      </c>
    </row>
    <row r="2141" spans="1:1" x14ac:dyDescent="0.25">
      <c r="A2141" t="s">
        <v>2460</v>
      </c>
    </row>
    <row r="2142" spans="1:1" x14ac:dyDescent="0.25">
      <c r="A2142" t="s">
        <v>2461</v>
      </c>
    </row>
    <row r="2143" spans="1:1" x14ac:dyDescent="0.25">
      <c r="A2143" t="s">
        <v>2462</v>
      </c>
    </row>
    <row r="2144" spans="1:1" x14ac:dyDescent="0.25">
      <c r="A2144" t="s">
        <v>2463</v>
      </c>
    </row>
    <row r="2145" spans="1:1" x14ac:dyDescent="0.25">
      <c r="A2145" t="s">
        <v>2464</v>
      </c>
    </row>
    <row r="2146" spans="1:1" x14ac:dyDescent="0.25">
      <c r="A2146" t="s">
        <v>2465</v>
      </c>
    </row>
    <row r="2147" spans="1:1" x14ac:dyDescent="0.25">
      <c r="A2147" t="s">
        <v>2466</v>
      </c>
    </row>
    <row r="2148" spans="1:1" x14ac:dyDescent="0.25">
      <c r="A2148" t="s">
        <v>2467</v>
      </c>
    </row>
    <row r="2149" spans="1:1" x14ac:dyDescent="0.25">
      <c r="A2149" t="s">
        <v>2468</v>
      </c>
    </row>
    <row r="2150" spans="1:1" x14ac:dyDescent="0.25">
      <c r="A2150" t="s">
        <v>2469</v>
      </c>
    </row>
    <row r="2151" spans="1:1" x14ac:dyDescent="0.25">
      <c r="A2151" t="s">
        <v>2470</v>
      </c>
    </row>
    <row r="2152" spans="1:1" x14ac:dyDescent="0.25">
      <c r="A2152" t="s">
        <v>2471</v>
      </c>
    </row>
    <row r="2153" spans="1:1" x14ac:dyDescent="0.25">
      <c r="A2153" t="s">
        <v>2472</v>
      </c>
    </row>
    <row r="2154" spans="1:1" x14ac:dyDescent="0.25">
      <c r="A2154" t="s">
        <v>2473</v>
      </c>
    </row>
    <row r="2155" spans="1:1" x14ac:dyDescent="0.25">
      <c r="A2155" t="s">
        <v>2474</v>
      </c>
    </row>
    <row r="2156" spans="1:1" x14ac:dyDescent="0.25">
      <c r="A2156" t="s">
        <v>2475</v>
      </c>
    </row>
    <row r="2157" spans="1:1" x14ac:dyDescent="0.25">
      <c r="A2157" t="s">
        <v>2476</v>
      </c>
    </row>
    <row r="2158" spans="1:1" x14ac:dyDescent="0.25">
      <c r="A2158" t="s">
        <v>2477</v>
      </c>
    </row>
    <row r="2159" spans="1:1" x14ac:dyDescent="0.25">
      <c r="A2159" t="s">
        <v>2478</v>
      </c>
    </row>
    <row r="2160" spans="1:1" x14ac:dyDescent="0.25">
      <c r="A2160" t="s">
        <v>2479</v>
      </c>
    </row>
    <row r="2161" spans="1:1" x14ac:dyDescent="0.25">
      <c r="A2161" t="s">
        <v>2480</v>
      </c>
    </row>
    <row r="2162" spans="1:1" x14ac:dyDescent="0.25">
      <c r="A2162" t="s">
        <v>2481</v>
      </c>
    </row>
    <row r="2163" spans="1:1" x14ac:dyDescent="0.25">
      <c r="A2163" t="s">
        <v>2482</v>
      </c>
    </row>
    <row r="2164" spans="1:1" x14ac:dyDescent="0.25">
      <c r="A2164" t="s">
        <v>2483</v>
      </c>
    </row>
    <row r="2165" spans="1:1" x14ac:dyDescent="0.25">
      <c r="A2165" t="s">
        <v>2484</v>
      </c>
    </row>
    <row r="2166" spans="1:1" x14ac:dyDescent="0.25">
      <c r="A2166" t="s">
        <v>2485</v>
      </c>
    </row>
    <row r="2167" spans="1:1" x14ac:dyDescent="0.25">
      <c r="A2167" t="s">
        <v>2486</v>
      </c>
    </row>
    <row r="2168" spans="1:1" x14ac:dyDescent="0.25">
      <c r="A2168" t="s">
        <v>2487</v>
      </c>
    </row>
    <row r="2169" spans="1:1" x14ac:dyDescent="0.25">
      <c r="A2169" t="s">
        <v>2488</v>
      </c>
    </row>
    <row r="2170" spans="1:1" x14ac:dyDescent="0.25">
      <c r="A2170" t="s">
        <v>2489</v>
      </c>
    </row>
    <row r="2171" spans="1:1" x14ac:dyDescent="0.25">
      <c r="A2171" t="s">
        <v>2490</v>
      </c>
    </row>
    <row r="2172" spans="1:1" x14ac:dyDescent="0.25">
      <c r="A2172" t="s">
        <v>2491</v>
      </c>
    </row>
    <row r="2173" spans="1:1" x14ac:dyDescent="0.25">
      <c r="A2173" t="s">
        <v>2492</v>
      </c>
    </row>
    <row r="2174" spans="1:1" x14ac:dyDescent="0.25">
      <c r="A2174" t="s">
        <v>2493</v>
      </c>
    </row>
    <row r="2175" spans="1:1" x14ac:dyDescent="0.25">
      <c r="A2175" t="s">
        <v>2494</v>
      </c>
    </row>
    <row r="2176" spans="1:1" x14ac:dyDescent="0.25">
      <c r="A2176" t="s">
        <v>2495</v>
      </c>
    </row>
    <row r="2177" spans="1:1" x14ac:dyDescent="0.25">
      <c r="A2177" t="s">
        <v>2496</v>
      </c>
    </row>
    <row r="2178" spans="1:1" x14ac:dyDescent="0.25">
      <c r="A2178" t="s">
        <v>2497</v>
      </c>
    </row>
    <row r="2179" spans="1:1" x14ac:dyDescent="0.25">
      <c r="A2179" t="s">
        <v>2498</v>
      </c>
    </row>
    <row r="2180" spans="1:1" x14ac:dyDescent="0.25">
      <c r="A2180" t="s">
        <v>2499</v>
      </c>
    </row>
    <row r="2181" spans="1:1" x14ac:dyDescent="0.25">
      <c r="A2181" t="s">
        <v>2500</v>
      </c>
    </row>
    <row r="2182" spans="1:1" x14ac:dyDescent="0.25">
      <c r="A2182" t="s">
        <v>2501</v>
      </c>
    </row>
    <row r="2183" spans="1:1" x14ac:dyDescent="0.25">
      <c r="A2183" t="s">
        <v>2502</v>
      </c>
    </row>
    <row r="2184" spans="1:1" x14ac:dyDescent="0.25">
      <c r="A2184" t="s">
        <v>2503</v>
      </c>
    </row>
    <row r="2185" spans="1:1" x14ac:dyDescent="0.25">
      <c r="A2185" t="s">
        <v>2504</v>
      </c>
    </row>
    <row r="2186" spans="1:1" x14ac:dyDescent="0.25">
      <c r="A2186" t="s">
        <v>2505</v>
      </c>
    </row>
    <row r="2187" spans="1:1" x14ac:dyDescent="0.25">
      <c r="A2187" t="s">
        <v>2506</v>
      </c>
    </row>
    <row r="2188" spans="1:1" x14ac:dyDescent="0.25">
      <c r="A2188" t="s">
        <v>2507</v>
      </c>
    </row>
    <row r="2189" spans="1:1" x14ac:dyDescent="0.25">
      <c r="A2189" t="s">
        <v>2508</v>
      </c>
    </row>
    <row r="2190" spans="1:1" x14ac:dyDescent="0.25">
      <c r="A2190" t="s">
        <v>2509</v>
      </c>
    </row>
    <row r="2191" spans="1:1" x14ac:dyDescent="0.25">
      <c r="A2191" t="s">
        <v>2510</v>
      </c>
    </row>
    <row r="2192" spans="1:1" x14ac:dyDescent="0.25">
      <c r="A2192" t="s">
        <v>2511</v>
      </c>
    </row>
    <row r="2193" spans="1:1" x14ac:dyDescent="0.25">
      <c r="A2193" t="s">
        <v>2512</v>
      </c>
    </row>
    <row r="2194" spans="1:1" x14ac:dyDescent="0.25">
      <c r="A2194" t="s">
        <v>2513</v>
      </c>
    </row>
    <row r="2195" spans="1:1" x14ac:dyDescent="0.25">
      <c r="A2195" t="s">
        <v>2514</v>
      </c>
    </row>
    <row r="2196" spans="1:1" x14ac:dyDescent="0.25">
      <c r="A2196" t="s">
        <v>2515</v>
      </c>
    </row>
    <row r="2197" spans="1:1" x14ac:dyDescent="0.25">
      <c r="A2197" t="s">
        <v>2516</v>
      </c>
    </row>
    <row r="2198" spans="1:1" x14ac:dyDescent="0.25">
      <c r="A2198" t="s">
        <v>2517</v>
      </c>
    </row>
    <row r="2199" spans="1:1" x14ac:dyDescent="0.25">
      <c r="A2199" t="s">
        <v>2518</v>
      </c>
    </row>
    <row r="2200" spans="1:1" x14ac:dyDescent="0.25">
      <c r="A2200" t="s">
        <v>2519</v>
      </c>
    </row>
    <row r="2201" spans="1:1" x14ac:dyDescent="0.25">
      <c r="A2201" t="s">
        <v>2520</v>
      </c>
    </row>
    <row r="2202" spans="1:1" x14ac:dyDescent="0.25">
      <c r="A2202" t="s">
        <v>2521</v>
      </c>
    </row>
    <row r="2203" spans="1:1" x14ac:dyDescent="0.25">
      <c r="A2203" t="s">
        <v>2522</v>
      </c>
    </row>
    <row r="2204" spans="1:1" x14ac:dyDescent="0.25">
      <c r="A2204" t="s">
        <v>2523</v>
      </c>
    </row>
    <row r="2205" spans="1:1" x14ac:dyDescent="0.25">
      <c r="A2205" t="s">
        <v>2524</v>
      </c>
    </row>
    <row r="2206" spans="1:1" x14ac:dyDescent="0.25">
      <c r="A2206" t="s">
        <v>2525</v>
      </c>
    </row>
    <row r="2207" spans="1:1" x14ac:dyDescent="0.25">
      <c r="A2207" t="s">
        <v>2526</v>
      </c>
    </row>
    <row r="2208" spans="1:1" x14ac:dyDescent="0.25">
      <c r="A2208" t="s">
        <v>2527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sheet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IMC.Stores</dc:creator>
  <cp:lastModifiedBy>store</cp:lastModifiedBy>
  <dcterms:created xsi:type="dcterms:W3CDTF">2025-09-24T14:46:16Z</dcterms:created>
  <dcterms:modified xsi:type="dcterms:W3CDTF">2025-09-26T04:46:04Z</dcterms:modified>
</cp:coreProperties>
</file>